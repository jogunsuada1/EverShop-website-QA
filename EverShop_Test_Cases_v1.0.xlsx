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omePC\Desktop\EverShop QAdocs\"/>
    </mc:Choice>
  </mc:AlternateContent>
  <xr:revisionPtr revIDLastSave="0" documentId="13_ncr:1_{326D0CC8-F1DD-4DFA-A0DB-D2EEA46CC5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N3" i="1"/>
  <c r="M3" i="1"/>
  <c r="L3" i="1"/>
  <c r="K3" i="1"/>
  <c r="P3" i="1" l="1"/>
  <c r="Q3" i="1" s="1"/>
  <c r="R3" i="1" l="1"/>
</calcChain>
</file>

<file path=xl/sharedStrings.xml><?xml version="1.0" encoding="utf-8"?>
<sst xmlns="http://schemas.openxmlformats.org/spreadsheetml/2006/main" count="1118" uniqueCount="757">
  <si>
    <t>EVERSHOP E-COMMERCE APP</t>
  </si>
  <si>
    <t xml:space="preserve">TEST STATUS SUMMARY </t>
  </si>
  <si>
    <t>pass</t>
  </si>
  <si>
    <t>PWC</t>
  </si>
  <si>
    <t>fail</t>
  </si>
  <si>
    <t>active</t>
  </si>
  <si>
    <t>out-of-scope</t>
  </si>
  <si>
    <t>total</t>
  </si>
  <si>
    <t>%pass</t>
  </si>
  <si>
    <t>%complete</t>
  </si>
  <si>
    <t>CHROME</t>
  </si>
  <si>
    <t>Status</t>
  </si>
  <si>
    <t>CREATED BY  : Ogunsuada Joseph
URL: https://demo.evershop.io/
DATE: December 2025
REVIEWER: Kingsley Udoh</t>
  </si>
  <si>
    <t xml:space="preserve">PRODUCT REQUIREMENT(PRD) </t>
  </si>
  <si>
    <t>SCENARIO/TEST CASE</t>
  </si>
  <si>
    <t>TEST STEP</t>
  </si>
  <si>
    <t>EXPECTED RESULT</t>
  </si>
  <si>
    <t>ACTUAL RESULT                                                                                                          (Write a short note of your defects if any)</t>
  </si>
  <si>
    <t>TEST CASE ID</t>
  </si>
  <si>
    <t>Comments</t>
  </si>
  <si>
    <t xml:space="preserve"> STATUS</t>
  </si>
  <si>
    <t>Please note: 
PWC- Pass with comment test cases 
%pass = (Pass + PWC / Total number of Test executed ) * 100 
%Complete = (Pass + Fail + PWC ) / Total number of Test executed ) * 100</t>
  </si>
  <si>
    <t>1. HOMEPAGE</t>
  </si>
  <si>
    <t>Homepage loads successfully</t>
  </si>
  <si>
    <t>1. Open browser
2. Navigate to https://demo.evershop.io/</t>
  </si>
  <si>
    <t>Homepage loads within 3 seconds. Header, hero banner, featured products and footer are all visible.</t>
  </si>
  <si>
    <t>TC-HP-001</t>
  </si>
  <si>
    <t>FR-1.1</t>
  </si>
  <si>
    <t>TC-HP-002</t>
  </si>
  <si>
    <t>UI/UX</t>
  </si>
  <si>
    <t>1. Observe hero/banner area on homepage
2. Click the CTA button</t>
  </si>
  <si>
    <t>Banner image loads without distortion. CTA button is clickable and leads to the correct destination.</t>
  </si>
  <si>
    <t>TC-HP-003</t>
  </si>
  <si>
    <t>TC-HP-004</t>
  </si>
  <si>
    <t>TC-HP-005</t>
  </si>
  <si>
    <t>Homepage is responsive on mobile (375px)</t>
  </si>
  <si>
    <t>1. Open DevTools → set viewport to 375px width
2. Reload homepage</t>
  </si>
  <si>
    <t>Layout reflows correctly. Hamburger menu appears. No horizontal scroll bar present.</t>
  </si>
  <si>
    <t>TC-HP-006</t>
  </si>
  <si>
    <t>2. PRODUCT CATALOG &amp; SEARCH</t>
  </si>
  <si>
    <t>Products displayed in grid/list layout. Each card shows image, name and price.</t>
  </si>
  <si>
    <t>TC-CAT-001</t>
  </si>
  <si>
    <t>FR-1.4</t>
  </si>
  <si>
    <t>Sort products by Price: Low to High</t>
  </si>
  <si>
    <t>Products re-order with the lowest-priced item appearing first.</t>
  </si>
  <si>
    <t>TC-CAT-002</t>
  </si>
  <si>
    <t>Sort products by Price: High to Low</t>
  </si>
  <si>
    <t>Products re-order with the highest-priced item appearing first.</t>
  </si>
  <si>
    <t>TC-CAT-003</t>
  </si>
  <si>
    <t>1. On a category page, select "Name" sort option</t>
  </si>
  <si>
    <t>Products re-order alphabetically A to Z.</t>
  </si>
  <si>
    <t>TC-CAT-004</t>
  </si>
  <si>
    <t>FR-1.3</t>
  </si>
  <si>
    <t>Filter products by attribute (e.g., Color)</t>
  </si>
  <si>
    <t>1. On category page, apply a filter e.g. Color = Black
2. Observe results</t>
  </si>
  <si>
    <t>Only products matching the selected filter are displayed. A filter tag is shown above results.</t>
  </si>
  <si>
    <t>TC-CAT-005</t>
  </si>
  <si>
    <t>FR-1.2</t>
  </si>
  <si>
    <t>Search – valid keyword returns results</t>
  </si>
  <si>
    <t>Results page shows relevant matching products with correct images and prices.</t>
  </si>
  <si>
    <t>TC-CAT-006</t>
  </si>
  <si>
    <t>TC-CAT-007</t>
  </si>
  <si>
    <t>TC-CAT-008</t>
  </si>
  <si>
    <t>Breadcrumb navigation is correct</t>
  </si>
  <si>
    <t>1. Navigate into a category page
2. Observe breadcrumb
3. Click "Home" in breadcrumb</t>
  </si>
  <si>
    <t>Breadcrumb reflects correct hierarchy. Clicking Home returns the user to the homepage.</t>
  </si>
  <si>
    <t>TC-CAT-009</t>
  </si>
  <si>
    <t>TC-CAT-010</t>
  </si>
  <si>
    <t>3. PRODUCT DETAIL PAGE (PDP)</t>
  </si>
  <si>
    <t>TC-PDP-001</t>
  </si>
  <si>
    <t>FR-2.1</t>
  </si>
  <si>
    <t>TC-PDP-002</t>
  </si>
  <si>
    <t>TC-PDP-003</t>
  </si>
  <si>
    <t>FR-2.3</t>
  </si>
  <si>
    <t>1. On PDP with size options, click each available size</t>
  </si>
  <si>
    <t>Selected size is visually highlighted. Price updates if size affects pricing.</t>
  </si>
  <si>
    <t>TC-PDP-004</t>
  </si>
  <si>
    <t>Variant selection – Color</t>
  </si>
  <si>
    <t>1. On PDP with colour variants, click each colour swatch</t>
  </si>
  <si>
    <t>Selected colour is highlighted. Main image updates to show the selected colour variant.</t>
  </si>
  <si>
    <t>TC-PDP-005</t>
  </si>
  <si>
    <t>Add to Cart button works</t>
  </si>
  <si>
    <t>TC-PDP-006</t>
  </si>
  <si>
    <t>TC-PDP-007</t>
  </si>
  <si>
    <t>FR-2.4</t>
  </si>
  <si>
    <t>TC-PDP-008</t>
  </si>
  <si>
    <t>4. SHOPPING CART</t>
  </si>
  <si>
    <t>FR-3.1</t>
  </si>
  <si>
    <t>1. Add any product to cart from PDP
2. Observe mini-cart</t>
  </si>
  <si>
    <t>Mini-cart slides out showing the added item with image, name, quantity and price.</t>
  </si>
  <si>
    <t>TC-CART-001</t>
  </si>
  <si>
    <t>TC-CART-002</t>
  </si>
  <si>
    <t>FR-3.2</t>
  </si>
  <si>
    <t>1. On cart page, click "+" on any item</t>
  </si>
  <si>
    <t>Quantity increments by 1. Subtotal recalculates immediately and correctly.</t>
  </si>
  <si>
    <t>TC-CART-003</t>
  </si>
  <si>
    <t>Decrease item quantity in cart</t>
  </si>
  <si>
    <t>1. On cart page with item qty ≥ 2, click "–" on an item</t>
  </si>
  <si>
    <t>Quantity decrements by 1. Subtotal updates correctly.</t>
  </si>
  <si>
    <t>TC-CART-004</t>
  </si>
  <si>
    <t>TC-CART-005</t>
  </si>
  <si>
    <t>TC-CART-006</t>
  </si>
  <si>
    <t>TC-CART-007</t>
  </si>
  <si>
    <t>Cart subtotal calculation is accurate</t>
  </si>
  <si>
    <t>1. Add 2+ items with known prices
2. Note the quantities
3. Observe displayed subtotal</t>
  </si>
  <si>
    <t>Subtotal equals the sum of (unit price × qty) for each item, correct to 2 decimal places.</t>
  </si>
  <si>
    <t>TC-CART-008</t>
  </si>
  <si>
    <t>5. CHECKOUT</t>
  </si>
  <si>
    <t>Checkout page loads showing Step 1 (Shipping Information).</t>
  </si>
  <si>
    <t>TC-CHK-001</t>
  </si>
  <si>
    <t>FR-3.4</t>
  </si>
  <si>
    <t>Guest checkout – shipping info form submits with valid data</t>
  </si>
  <si>
    <t>1. Fill in first name, last name, email, address, city, country and postcode
2. Click Continue</t>
  </si>
  <si>
    <t>Validation passes. User advances to the shipping method step.</t>
  </si>
  <si>
    <t>TC-CHK-002</t>
  </si>
  <si>
    <t>TC-CHK-003</t>
  </si>
  <si>
    <t>TC-CHK-004</t>
  </si>
  <si>
    <t>TC-CHK-005</t>
  </si>
  <si>
    <t>TC-CHK-006</t>
  </si>
  <si>
    <t>Order confirmation page shows correct details</t>
  </si>
  <si>
    <t>1. Complete a full checkout and place order
2. Observe the confirmation page</t>
  </si>
  <si>
    <t>TC-CHK-007</t>
  </si>
  <si>
    <t>Registered user checkout pre-fills saved address</t>
  </si>
  <si>
    <t>1. Log in as a registered user with a saved address
2. Add item to cart and proceed to checkout</t>
  </si>
  <si>
    <t>Saved address pre-fills in the shipping form. User does not need to re-enter details.</t>
  </si>
  <si>
    <t>TC-CHK-008</t>
  </si>
  <si>
    <t>FR-3.6</t>
  </si>
  <si>
    <t>Tax and shipping costs itemised in order summary</t>
  </si>
  <si>
    <t>1. Complete shipping info
2. Select a shipping method
3. Observe order summary</t>
  </si>
  <si>
    <t>Tax and shipping costs are shown as separate line items. Grand total = subtotal + tax + shipping.</t>
  </si>
  <si>
    <t>TC-CHK-009</t>
  </si>
  <si>
    <t>Back navigation in multi-step checkout preserves data</t>
  </si>
  <si>
    <t>1. Reach the payment step
2. Click "Back" or browser back button</t>
  </si>
  <si>
    <t>Returns to the previous step with previously entered data still populated. No data loss.</t>
  </si>
  <si>
    <t>TC-CHK-010</t>
  </si>
  <si>
    <t>6. USER REGISTRATION &amp; LOGIN</t>
  </si>
  <si>
    <t>FR-4.1</t>
  </si>
  <si>
    <t>TC-AUTH-001</t>
  </si>
  <si>
    <t>Registration rejected for duplicate email</t>
  </si>
  <si>
    <t>TC-AUTH-002</t>
  </si>
  <si>
    <t>TC-AUTH-003</t>
  </si>
  <si>
    <t>Login with valid credentials succeeds</t>
  </si>
  <si>
    <t>1. Navigate to /customer/login
2. Enter valid email and password
3. Click Sign In</t>
  </si>
  <si>
    <t>TC-AUTH-004</t>
  </si>
  <si>
    <t>Login rejected with invalid password</t>
  </si>
  <si>
    <t>1. Enter a valid email with an incorrect password
2. Click Sign In</t>
  </si>
  <si>
    <t>Error message: "Invalid email or password." Account is not accessed.</t>
  </si>
  <si>
    <t>TC-AUTH-005</t>
  </si>
  <si>
    <t>Login – blank fields show validation errors</t>
  </si>
  <si>
    <t>1. Leave both email and password fields empty
2. Click Sign In</t>
  </si>
  <si>
    <t>TC-AUTH-006</t>
  </si>
  <si>
    <t>Logout clears session successfully</t>
  </si>
  <si>
    <t>1. While logged in, click account menu → Logout</t>
  </si>
  <si>
    <t>TC-AUTH-007</t>
  </si>
  <si>
    <t>Password reset – valid registered email</t>
  </si>
  <si>
    <t>1. Click "Forgot Password" on login page
2. Enter a registered email
3. Submit</t>
  </si>
  <si>
    <t>Confirmation message: "Password reset link sent to your email."</t>
  </si>
  <si>
    <t>TC-AUTH-008</t>
  </si>
  <si>
    <t>Password reset – unregistered email handled</t>
  </si>
  <si>
    <t>1. On forgot password page, enter an email not registered
2. Submit</t>
  </si>
  <si>
    <t>Appropriate message shown (generic for security or "email not found"). No system error.</t>
  </si>
  <si>
    <t>TC-AUTH-009</t>
  </si>
  <si>
    <t>7. CUSTOMER ACCOUNT</t>
  </si>
  <si>
    <t>FR-4.2</t>
  </si>
  <si>
    <t>Account dashboard loads after login</t>
  </si>
  <si>
    <t>1. Log in as registered user
2. Navigate to /customer/account</t>
  </si>
  <si>
    <t>TC-ACC-001</t>
  </si>
  <si>
    <t>View order history list</t>
  </si>
  <si>
    <t>1. On account dashboard, click "My Orders"</t>
  </si>
  <si>
    <t>List of past orders shown with order number, date, status and total for each.</t>
  </si>
  <si>
    <t>TC-ACC-002</t>
  </si>
  <si>
    <t>View individual order details</t>
  </si>
  <si>
    <t>Order detail page shows items ordered, shipping address, payment method and status.</t>
  </si>
  <si>
    <t>TC-ACC-003</t>
  </si>
  <si>
    <t>FR-4.3</t>
  </si>
  <si>
    <t>Add a new shipping address</t>
  </si>
  <si>
    <t>1. Go to Account → Addresses
2. Click "Add New Address"
3. Fill all fields
4. Save</t>
  </si>
  <si>
    <t>New address saved successfully and appears in the addresses list.</t>
  </si>
  <si>
    <t>TC-ACC-004</t>
  </si>
  <si>
    <t>Delete a saved shipping address</t>
  </si>
  <si>
    <t>1. Go to Account → Addresses
2. Click Delete on an existing address
3. Confirm</t>
  </si>
  <si>
    <t>Address removed from the list.</t>
  </si>
  <si>
    <t>TC-ACC-005</t>
  </si>
  <si>
    <t>FR-4.4</t>
  </si>
  <si>
    <t>TC-ACC-006</t>
  </si>
  <si>
    <t>What are the Optional Contact information on the registration page?</t>
  </si>
  <si>
    <t>What kind of confirmation email? Are users expected to accept or ignore?.- Sample is needed</t>
  </si>
  <si>
    <t>Verify that clicking the left/right arrow icons (bottom right) successfully transitions to the next or previous hero image/content.</t>
  </si>
  <si>
    <t xml:space="preserve">1. Observe hero/banner area on homepage
2. Click the left/right arrow icon
</t>
  </si>
  <si>
    <t>hero section should transit to the next hero content</t>
  </si>
  <si>
    <t>verify that "Shop Now/view collection" button changes appearance (color dim &amp; slight grow) when the mouse hovers over it.</t>
  </si>
  <si>
    <t>1. Observe hero/banner area on homepage
2. Hover on the "Shop Now/View collection" button</t>
  </si>
  <si>
    <t>the button(s) should color dim and grow sligthly</t>
  </si>
  <si>
    <t>Verify that the white "Premium Quality Products" heading and subtext are clearly readable against the light background.</t>
  </si>
  <si>
    <t xml:space="preserve">1. Observe hero/banner area on homepage
2. Check the texts
</t>
  </si>
  <si>
    <t xml:space="preserve">1. Observe hero/banner area on homepage
2. swipe to the next hero slide
2. Check the texts
</t>
  </si>
  <si>
    <t>Verify that the white "Crafted with care" heading and subtext are clearly readable against the light background.</t>
  </si>
  <si>
    <t>Verify that the "Shop kids," "Shop women," and "Shop men" are arranged in a grid</t>
  </si>
  <si>
    <t>Precondition: user must be on evermore website</t>
  </si>
  <si>
    <t>1. scroll to collection
2. view grid</t>
  </si>
  <si>
    <t>Should be arranged in a grid(1 x 3)</t>
  </si>
  <si>
    <t>Should be readable even with low brightness</t>
  </si>
  <si>
    <t>Verify that clicking on a "Featured Product" (e.g Striped Cotton Sweater) opens the specific product detail page.</t>
  </si>
  <si>
    <t xml:space="preserve">should navigate to product's page
</t>
  </si>
  <si>
    <t>FR-1.5</t>
  </si>
  <si>
    <t>FR-1.7</t>
  </si>
  <si>
    <t xml:space="preserve">1. Observe hero/banner area on homepage
2. swipe to the next hero slide
</t>
  </si>
  <si>
    <t>Each slides contains the mentioned</t>
  </si>
  <si>
    <t>verify that Slides must auto-rotate with a configurable interval</t>
  </si>
  <si>
    <t xml:space="preserve">1. Observe hero/banner area on homepage
2. wait for auto-rotate
</t>
  </si>
  <si>
    <t>slide must auto-rotate at time interval</t>
  </si>
  <si>
    <t>FR-1.8</t>
  </si>
  <si>
    <t>FR-1.9</t>
  </si>
  <si>
    <t>verify that Featured products section displays product cards from the catalogue in grid</t>
  </si>
  <si>
    <t xml:space="preserve">Product cards show image, name and price. </t>
  </si>
  <si>
    <t xml:space="preserve">Product cards are displayed in grids. </t>
  </si>
  <si>
    <t>1. Scroll to featured products section
2. observe the Featured Products grid</t>
  </si>
  <si>
    <t>verify that each featured product card must display: product image, product name, and price.</t>
  </si>
  <si>
    <t>1. Scroll to featured products section
2. observe the Featured Products cards</t>
  </si>
  <si>
    <t>FR-1.10</t>
  </si>
  <si>
    <t>1. Scroll to the bottom of the page
2. Observe</t>
  </si>
  <si>
    <t>FR-1.14</t>
  </si>
  <si>
    <t>FR-1.11</t>
  </si>
  <si>
    <t>FR-1.12</t>
  </si>
  <si>
    <t>The cart icon must display a numeric badge showing the total number of items in the active cart session</t>
  </si>
  <si>
    <t>TC-HP-007</t>
  </si>
  <si>
    <t>TC-HP-008</t>
  </si>
  <si>
    <t>TC-HP-009</t>
  </si>
  <si>
    <t>TC-HP-010</t>
  </si>
  <si>
    <t>TC-HP-011</t>
  </si>
  <si>
    <t>TC-HP-012</t>
  </si>
  <si>
    <t>TC-HP-013</t>
  </si>
  <si>
    <t>TC-HP-014</t>
  </si>
  <si>
    <t>TC-HP-015</t>
  </si>
  <si>
    <t>TC-HP-016</t>
  </si>
  <si>
    <t>TC-HP-017</t>
  </si>
  <si>
    <t>TC-HP-018</t>
  </si>
  <si>
    <t>Category Display products in a grid/list view on all category pages (Accessories, Men, Women, Kids) with product image, name, and price on each cardpage loads product grid</t>
  </si>
  <si>
    <t>FR-2.2</t>
  </si>
  <si>
    <t>Display a breadcrumb trail (e.g., Home / Accessories) on all category and product pages.</t>
  </si>
  <si>
    <t>1. Clich shop dropdown from the navigation menu
2. Click any category(Accessories)</t>
  </si>
  <si>
    <t>1. Clich shop dropdown from the navigation menu
2. Click any category(Accessories)
3. chech for breadcrumb trail</t>
  </si>
  <si>
    <t>Display the total product count for the active category and filter state.</t>
  </si>
  <si>
    <t>Precondition: user must be on a category page</t>
  </si>
  <si>
    <t>1. check for the product count</t>
  </si>
  <si>
    <t>Show a user-friendly "No products found" message when a category or filter combination returns zero results</t>
  </si>
  <si>
    <t>1. Go to home page
2. click shop for kids
3. observe the page</t>
  </si>
  <si>
    <t>should show "No products found" message</t>
  </si>
  <si>
    <t>FR-2.5</t>
  </si>
  <si>
    <t>Support pagination to allow navigation across multiple pages of products within a category.</t>
  </si>
  <si>
    <t xml:space="preserve">1. scroll down to the buttom of the page 
2. check for  pagination </t>
  </si>
  <si>
    <t>should show pagnination with number of page(s) (1, 2, 3...)</t>
  </si>
  <si>
    <t>FR-2.6</t>
  </si>
  <si>
    <t>1. click Sort By dropdown
2. Check dropdown items</t>
  </si>
  <si>
    <t>Dropdown must contain the items listed</t>
  </si>
  <si>
    <t>FR-2.7</t>
  </si>
  <si>
    <t>should re-arrange based on the sort by item clicked</t>
  </si>
  <si>
    <t xml:space="preserve">1. click Sort By dropdown
2. click any of dropdown items
3. do for all Sort By items
 </t>
  </si>
  <si>
    <t>Re-render the product list immediately when a "Sort By" option is selected, without a full page reload.</t>
  </si>
  <si>
    <t>FR-2.8</t>
  </si>
  <si>
    <t>Display a "Product Filters" sidebar on all category pages with a Price range input and product attribute filters (e.g., Color, Size).</t>
  </si>
  <si>
    <t xml:space="preserve">1. check the side bar on accessories </t>
  </si>
  <si>
    <t>the mentioned is viasible</t>
  </si>
  <si>
    <t>FR-2.9</t>
  </si>
  <si>
    <t>Allow multiple filters to be applied simultaneously (e.g, Color = Black AND Price $0–$100).</t>
  </si>
  <si>
    <t>FR-2.10</t>
  </si>
  <si>
    <t>1. check the side bar on accessories 
2. inspect the price filter</t>
  </si>
  <si>
    <t>1. check the side bar on accessories 
2. inspect the color filter</t>
  </si>
  <si>
    <t>should be displayed in a checkbox list with the color listed</t>
  </si>
  <si>
    <t>1. adjust the price 
2. select one or more colors</t>
  </si>
  <si>
    <t>verify that the price filter is a range slider from $12-$35</t>
  </si>
  <si>
    <t>price should be a price range slider with the range mentioned</t>
  </si>
  <si>
    <t>should range from the following
-should display product based on the range</t>
  </si>
  <si>
    <t>A "clear all" is display at the top of the filter</t>
  </si>
  <si>
    <t>FR-2.12</t>
  </si>
  <si>
    <t xml:space="preserve">Sort products by Name </t>
  </si>
  <si>
    <t>Provide a global search bar accessible from the header, supporting full-text keyword search across product names and descriptions.</t>
  </si>
  <si>
    <t>1. check the navigation bar
2. click the search icon</t>
  </si>
  <si>
    <t>should provide a search text field</t>
  </si>
  <si>
    <t>FR-2.13</t>
  </si>
  <si>
    <t>FR-2.14</t>
  </si>
  <si>
    <t>Display a results page with a product count on submission. Show "No products found" if no results match the query.</t>
  </si>
  <si>
    <t>FR-2.15</t>
  </si>
  <si>
    <t>An empty search query submission must not cause an error — either prompt the user for a keyword or return all products gracefully</t>
  </si>
  <si>
    <t>1. click the search icon 
2. type "rice" 
3. click enter</t>
  </si>
  <si>
    <t>1. click the search icon 
2. click enter</t>
  </si>
  <si>
    <t>should prompt the user for a keyword</t>
  </si>
  <si>
    <t>FR-2.14(negative search)</t>
  </si>
  <si>
    <t>TC-CAT-011</t>
  </si>
  <si>
    <t>TC-CAT-012</t>
  </si>
  <si>
    <t>TC-CAT-013</t>
  </si>
  <si>
    <t>TC-CAT-014</t>
  </si>
  <si>
    <t>TC-CAT-015</t>
  </si>
  <si>
    <t>TC-CAT-016</t>
  </si>
  <si>
    <t>TC-CAT-017</t>
  </si>
  <si>
    <t>TC-CAT-018</t>
  </si>
  <si>
    <t>TC-CAT-019</t>
  </si>
  <si>
    <t>TC-CAT-020</t>
  </si>
  <si>
    <t>TC-CAT-021</t>
  </si>
  <si>
    <t>TC-CAT-022</t>
  </si>
  <si>
    <t>TC-CAT-023</t>
  </si>
  <si>
    <t>TC-CAT-024</t>
  </si>
  <si>
    <t>TC-CAT-025</t>
  </si>
  <si>
    <t>Display product image, title, Stock Keeping Unit(SKU), color, price, color variant, quantity textbox and "Add to cart" button</t>
  </si>
  <si>
    <t>1. From any category page, click on a product card
2. observe the page</t>
  </si>
  <si>
    <t>Implement an image zoom effect on hover over the main product image.</t>
  </si>
  <si>
    <t>Pre-condition: user must be on PDP</t>
  </si>
  <si>
    <t>Product image should zoom in when hovered on.</t>
  </si>
  <si>
    <t>1. Hover on the product image</t>
  </si>
  <si>
    <t>verify product description is below the product information</t>
  </si>
  <si>
    <t>1. scroll down  
2. check for product description</t>
  </si>
  <si>
    <t xml:space="preserve">product description should be visible below the page </t>
  </si>
  <si>
    <t>1, check for the varient</t>
  </si>
  <si>
    <t>FR-3.7</t>
  </si>
  <si>
    <t>1. From any category page, click on a accesory product card
2. select a colour</t>
  </si>
  <si>
    <t>should visually highlight the selection and update the main image</t>
  </si>
  <si>
    <t>Attempting to "Add to Cart" without selecting all required variants must display an inline validation prompt.</t>
  </si>
  <si>
    <t>FR-3.8</t>
  </si>
  <si>
    <t>FR-3.9</t>
  </si>
  <si>
    <t>1. do not select a variant
2. click "Add to Cart"</t>
  </si>
  <si>
    <t>should show "please select variant options" message under the variant</t>
  </si>
  <si>
    <t>1. Select a variant
2. enter a quantity(&gt; or = 1)
2. Click "Add to Cart"</t>
  </si>
  <si>
    <t>FR-3.11</t>
  </si>
  <si>
    <t>verify that user cannot add negative quantity to cart</t>
  </si>
  <si>
    <t>show "Value must be at least 1" message below quatity textbox</t>
  </si>
  <si>
    <t>verify that quatity textbox doesn’t accept letters</t>
  </si>
  <si>
    <t>1. Select a variant
2. enter a quantity -1
3. Click "Add to Cart"</t>
  </si>
  <si>
    <t>letters in quantity textbox</t>
  </si>
  <si>
    <t>out of stock</t>
  </si>
  <si>
    <t xml:space="preserve">verify that user cant add more than the quantity availabe to cart </t>
  </si>
  <si>
    <t xml:space="preserve">1. Select a variant
2. enter a 200000 in quantity 
</t>
  </si>
  <si>
    <t>show display pop up message "We do not have enough stock"</t>
  </si>
  <si>
    <t>"Add to Cart" button must add the selected product, variant, and quantity to the cart and trigger the mini-cart panel (Your cart)to open.</t>
  </si>
  <si>
    <t>TC-PDP-009</t>
  </si>
  <si>
    <t>TC-PDP-010</t>
  </si>
  <si>
    <t>TC-PDP-011</t>
  </si>
  <si>
    <t>TC-PDP-012</t>
  </si>
  <si>
    <t>TC-PDP-013</t>
  </si>
  <si>
    <t>Mini-cart(Your cart) opens after adding a product to cart or when cart icon is click</t>
  </si>
  <si>
    <t>verify that "View Cart" link in the mini-cart that navigates to the full cart page (/cart) and a “Check Out” link are visible</t>
  </si>
  <si>
    <t>Mini-cart slides out showing the added item with image, name, quantity and price. View Cart and Check out are visible below the mini-cart</t>
  </si>
  <si>
    <t>FR-4.5</t>
  </si>
  <si>
    <t>1. Add any product to cart from PDP
2. click view cart</t>
  </si>
  <si>
    <t xml:space="preserve">verify that the "Check Out" link button navigate to the Check out page </t>
  </si>
  <si>
    <t>1. Add any product to cart from PDP
2. click check out</t>
  </si>
  <si>
    <t>Check out page should open</t>
  </si>
  <si>
    <t>1. Add any product to cart from PDP
2. click view cart
3. observe page 
4. decrease(-) till you get to 1</t>
  </si>
  <si>
    <t>verify quantity increment (+) and decrement (−) for each line item. The minimum quantity per item is 1.</t>
  </si>
  <si>
    <t>Verify removal of individual line items from the cart using a remove link</t>
  </si>
  <si>
    <t xml:space="preserve">verify that the "View Cart" link button navigate to the Shopping cart page 
</t>
  </si>
  <si>
    <t>Shopping cart page should open
-Display the shopping cart with all line items showing: image, name, selected variant, quantity, unit price, line total, and remove link.</t>
  </si>
  <si>
    <t>1. Add any product to cart from PDP
2. click view cart
3. click "remove"</t>
  </si>
  <si>
    <t>FR-4.7</t>
  </si>
  <si>
    <t>Display a cart subtotal equal to the sum of (unit price × quantity) for all line items, accurate to 2 decimal places.</t>
  </si>
  <si>
    <t>FR-4.8</t>
  </si>
  <si>
    <t>FR-4.9</t>
  </si>
  <si>
    <t>Display a friendly empty-cart state when no items are in the cart, with a link to continue shopping.</t>
  </si>
  <si>
    <t>1. Add any product to cart from PDP
2. click view cart
3. observe subtotal</t>
  </si>
  <si>
    <t>verify Cart contents must persist across page refreshes and navigation away from the cart (session persistence).</t>
  </si>
  <si>
    <t>1. Add any product to cart from PDP
2. click view cart
3. increase an item
4. refresh the page</t>
  </si>
  <si>
    <t>should be the same after the page as been refreshed</t>
  </si>
  <si>
    <t>subtotal should be in 2 d.p</t>
  </si>
  <si>
    <t>1. Add any product to cart from PDP
2. click view cart
3. remove all items</t>
  </si>
  <si>
    <t>should display "your cart is empty" and a link, "continue shopping"</t>
  </si>
  <si>
    <t>FR-4.5-- incease cart</t>
  </si>
  <si>
    <t>verify Increase item quantity in cart</t>
  </si>
  <si>
    <t>FR-4.5-- decrease cart</t>
  </si>
  <si>
    <t>FR-4.6--remove item</t>
  </si>
  <si>
    <t>item should be removed from cart. Subtotal recalculates. If last item removed, empty cart message appears.</t>
  </si>
  <si>
    <t>FR-4.7 – Price calc</t>
  </si>
  <si>
    <t>verify Display a footer on all pages showing the copyright notice ("© 2022 Evershop. All Rights Reserved.") and PayPal accepted-payment branding</t>
  </si>
  <si>
    <t>TC-CART-009</t>
  </si>
  <si>
    <t>TC-CART-010</t>
  </si>
  <si>
    <t>TC-CART-011</t>
  </si>
  <si>
    <t>TC-CART-012</t>
  </si>
  <si>
    <t>TC-CART-013</t>
  </si>
  <si>
    <t>Display a coupon code input field and an "Apply" button on the cart page</t>
  </si>
  <si>
    <t>Applying an invalid, expired, or usage-exceeded coupon must display an appropriate inline error message without modifying the cart total.</t>
  </si>
  <si>
    <t>FR-4.10--coupon code</t>
  </si>
  <si>
    <t>FR-4.11-- valid coupon</t>
  </si>
  <si>
    <t>FR-4.12--invalid coupon</t>
  </si>
  <si>
    <t>1. Add any product to cart from PDP
2. click view cart
3. observe coupon code input field</t>
  </si>
  <si>
    <t>1. Add any product to cart from PDP
2. click view cart
3. input a valid coupon code
4. click apply</t>
  </si>
  <si>
    <t xml:space="preserve">Applying a valid coupon must display the discount as a negative line item </t>
  </si>
  <si>
    <t>coupon is applied as a negative line item and update the cart total correctly.</t>
  </si>
  <si>
    <t>total and check out button</t>
  </si>
  <si>
    <t>verify that the total price is show with a check out button</t>
  </si>
  <si>
    <t xml:space="preserve">1. Add any product to cart from PDP
2. check for total and check out button link </t>
  </si>
  <si>
    <t>the mentioned should be visible</t>
  </si>
  <si>
    <t xml:space="preserve">check out page </t>
  </si>
  <si>
    <t>verify that clickikng check out navigates to check out page</t>
  </si>
  <si>
    <t>Checkout page loads correckly</t>
  </si>
  <si>
    <t>TC-CART-014</t>
  </si>
  <si>
    <t>TC-CART-015</t>
  </si>
  <si>
    <t>TC-CART-016</t>
  </si>
  <si>
    <t>TC-CART-017</t>
  </si>
  <si>
    <t>TC-CART-018</t>
  </si>
  <si>
    <t>FR-5.1</t>
  </si>
  <si>
    <t>Display a breadcrumb trail at the top of the page</t>
  </si>
  <si>
    <t>1. observe breadcrumb trail</t>
  </si>
  <si>
    <t>verify that contact information displayed account logged in with a logout button</t>
  </si>
  <si>
    <t>1. observe observe contact information section</t>
  </si>
  <si>
    <t>Precondition; user must be on check out page</t>
  </si>
  <si>
    <t>verify that log out button logs out the account successfully</t>
  </si>
  <si>
    <t>1. click logout</t>
  </si>
  <si>
    <t>show "successfully logged out" message</t>
  </si>
  <si>
    <t xml:space="preserve">should display the message </t>
  </si>
  <si>
    <t xml:space="preserve">1. click log in 
2. observe contact informtion
</t>
  </si>
  <si>
    <t>possword and email field should be visible
-log in and cancel button should be visible</t>
  </si>
  <si>
    <t>&gt;&gt;contact information for logged in account</t>
  </si>
  <si>
    <t>&gt;&gt;log out button</t>
  </si>
  <si>
    <t>&gt;&gt;contact information for logged out account</t>
  </si>
  <si>
    <t>&gt;&gt;log in link</t>
  </si>
  <si>
    <t>&gt;&gt;log in with valid credential</t>
  </si>
  <si>
    <t xml:space="preserve">1. click log in 
2. Enter valid email
3. enter valid password
</t>
  </si>
  <si>
    <t>show login successfully message
-display user account email on contant information</t>
  </si>
  <si>
    <t>verify that user cannot log in with invalid credential</t>
  </si>
  <si>
    <t>TEST DATA</t>
  </si>
  <si>
    <t>email; jostemi70@gmail.com
password; Anuoluwa70@</t>
  </si>
  <si>
    <t>&gt;&gt;log in with invalid credential</t>
  </si>
  <si>
    <t xml:space="preserve">1. click log in 
2. Enter invalid email
3. enter valid password
</t>
  </si>
  <si>
    <t>email; jostem70@gmail.com
password; Anuoluwa70@</t>
  </si>
  <si>
    <t>show ""invalid credential" message</t>
  </si>
  <si>
    <t>1. observe shipping Address section</t>
  </si>
  <si>
    <t>all fields mention should be visible</t>
  </si>
  <si>
    <t>FR-5.2</t>
  </si>
  <si>
    <t>verify that Full Name, Street Address, Address 2, City, State/Province, Postcode, Country, and Phone Number fields are visible</t>
  </si>
  <si>
    <t>verify that the following are required:
-Full name
-Telephone
-Address
-city
-country
-province
-postcode</t>
  </si>
  <si>
    <t>all fields listed should be required (*)</t>
  </si>
  <si>
    <t>FR-5.3</t>
  </si>
  <si>
    <t>FR-5.2--telephone field</t>
  </si>
  <si>
    <t>should indicate an error message</t>
  </si>
  <si>
    <t>verify that The Email field must validate format. An invalid format (missing @ or domain) triggers an inline error.</t>
  </si>
  <si>
    <t>For registered users, pre-populate the shipping form with the default saved address from their account.</t>
  </si>
  <si>
    <t>FR-5.4</t>
  </si>
  <si>
    <t>FR-5.5</t>
  </si>
  <si>
    <t>shipping address form should be filled</t>
  </si>
  <si>
    <t>Support guest checkout without requiring account creation prior to placing an order.</t>
  </si>
  <si>
    <t>order should be placed</t>
  </si>
  <si>
    <t>FR-5.6</t>
  </si>
  <si>
    <t>List available shipping methods with name and associated cost. At least one method must be available for selection.</t>
  </si>
  <si>
    <t>1. observe shipping method section</t>
  </si>
  <si>
    <t>shipping methods;
-Express---------$10
-Basic-----------$8
should be visible</t>
  </si>
  <si>
    <t>FR-5.7</t>
  </si>
  <si>
    <t>Selecting a shipping method must immediately update the order summary grand total.</t>
  </si>
  <si>
    <t>The total price should be updated by adding the selected shipping method price</t>
  </si>
  <si>
    <t>FR-5.8</t>
  </si>
  <si>
    <t>Display an itemized order summary: subtotal, shipping cost, taxes (if applicable), and grand total.</t>
  </si>
  <si>
    <t>FR-5.9</t>
  </si>
  <si>
    <t xml:space="preserve">1. enter email
2. enter shipping address 
3. select shipping method
</t>
  </si>
  <si>
    <t xml:space="preserve">Verify Stripe Form Rendering on </t>
  </si>
  <si>
    <t>1. enter "qwerty" on the telephone field</t>
  </si>
  <si>
    <t>1. select "Credit Card" in the payment information section
2. observe the form</t>
  </si>
  <si>
    <t>1. Add item to cart
2. Click "Checkout" on cart page
3. check shipping address form</t>
  </si>
  <si>
    <t>The credit card payment form must display clear, empty input fields for "Card number," "Expiration date" (MM / YY), and "Security code" (CVC). These must be rendered securely via the Stripe.js SDK.</t>
  </si>
  <si>
    <t>FR-5.10</t>
  </si>
  <si>
    <t>verify altenative card payment</t>
  </si>
  <si>
    <t>The interface must offer multiple payment options including Google Pay, Alipay, Amazon Pay, and Cash App Pay.</t>
  </si>
  <si>
    <t>1. select "Credit Card" in the payment information section
2. select "Google pay"</t>
  </si>
  <si>
    <t>Clicking the button must trigger the Google Pay overlay showing saved cards or an "Add Card" option.</t>
  </si>
  <si>
    <t>1. select "Credit Card" in the payment information section
2. select "Alipay"
3.On the test page, click the "AUTHORIZE TEST PAYMENT" button</t>
  </si>
  <si>
    <t>The application should immediately open a new window or redirect the current tab to the official "Test Payment Page" for that provider.
-the page should process the intent and then redirect you back to your website's "Order Success" page.</t>
  </si>
  <si>
    <t>1. select "Credit Card" in the payment information section
2. select "Amazon Pay"
3.On the test page, click the "AUTHORIZE TEST PAYMENT" button</t>
  </si>
  <si>
    <t>The interface must present a QR code for mobile scanning or redirect the user to the Cash App authorization screen.</t>
  </si>
  <si>
    <t>verify that user can pay with valid card credentials</t>
  </si>
  <si>
    <t>1. select "Credit Card" in the payment information section
2. enter card number 
3. enter expiry date
4. enter CVC
5. click pay</t>
  </si>
  <si>
    <t>The order should be successfully placed</t>
  </si>
  <si>
    <t>verify that user cannot pay with invalid card credentials</t>
  </si>
  <si>
    <t>1. select "Credit Card" in the payment information section
2. enter invalid card number 
3. enter expiry date
4. enter CVC
5. click pay with stripe</t>
  </si>
  <si>
    <t>FR-5.9&gt;&gt;failed payment</t>
  </si>
  <si>
    <t>*The order should not be successfully placed
*should be redirected to the "Shopping Cart" page with message "Failed Payment"</t>
  </si>
  <si>
    <t>Test card number: 4000 0000 0000 9995
Test card expiry: 04/26
Test card CVC: 242</t>
  </si>
  <si>
    <t>est card number: 4242 4242 4242 4242
Test card expiry: 04/26
Test card CVC: 242</t>
  </si>
  <si>
    <t>1. select "Credit Card" in the payment information section
2. select "Amazon Pay"
3.On the test page, click the "FAIL TEST PAYMENT" button</t>
  </si>
  <si>
    <t>Display PayPal as an alternative payment method using the PayPal JavaScript SDK button.</t>
  </si>
  <si>
    <t>1. select "PayPal" in the payment information section
2. observe the form</t>
  </si>
  <si>
    <t>FR-5.11</t>
  </si>
  <si>
    <t xml:space="preserve"> should open redirect the current tab to the official "Test Payment Page" for that provider.
-the page should process the intent and then redirect you back to your website's "Order Success" page.</t>
  </si>
  <si>
    <t>payment with PayPal</t>
  </si>
  <si>
    <t>FR-5</t>
  </si>
  <si>
    <t>verify order(s) can be placed on "Cash On Delivery"</t>
  </si>
  <si>
    <t>1. select "PayPal" in the payment information section
2. click "Pay with PayPal"</t>
  </si>
  <si>
    <t>1. Fill in first name, last name, email, address, city, country and postcode
2. select shipping method
3. select "Cash On Delivery " in payment method
4. click place order</t>
  </si>
  <si>
    <t>PayPal should be a selectable option</t>
  </si>
  <si>
    <t>should redirect to paypal website</t>
  </si>
  <si>
    <t>order should be placed successfully 
should navigates to checkout success page</t>
  </si>
  <si>
    <t>FR-5.13</t>
  </si>
  <si>
    <t>Confirmation page shows unique order number, list of items, shipping address, payment method used, and grand total.</t>
  </si>
  <si>
    <t>Proceed to Checkout button navigates to checkout page</t>
  </si>
  <si>
    <t>UI/UX – FR-5</t>
  </si>
  <si>
    <t>TC-CHK-011</t>
  </si>
  <si>
    <t>TC-CHK-012</t>
  </si>
  <si>
    <t>TC-CHK-013</t>
  </si>
  <si>
    <t>TC-CHK-014</t>
  </si>
  <si>
    <t>TC-CHK-015</t>
  </si>
  <si>
    <t>TC-CHK-016</t>
  </si>
  <si>
    <t>TC-CHK-017</t>
  </si>
  <si>
    <t>TC-CHK-018</t>
  </si>
  <si>
    <t>TC-CHK-019</t>
  </si>
  <si>
    <t>TC-CHK-020</t>
  </si>
  <si>
    <t>TC-CHK-021</t>
  </si>
  <si>
    <t>TC-CHK-022</t>
  </si>
  <si>
    <t>TC-CHK-023</t>
  </si>
  <si>
    <t>TC-CHK-024</t>
  </si>
  <si>
    <t>TC-CHK-025</t>
  </si>
  <si>
    <t>TC-CHK-026</t>
  </si>
  <si>
    <t>TC-CHK-027</t>
  </si>
  <si>
    <t>TC-CHK-028</t>
  </si>
  <si>
    <t>TC-CHK-029</t>
  </si>
  <si>
    <t>TC-CHK-030</t>
  </si>
  <si>
    <t>TC-CHK-031</t>
  </si>
  <si>
    <t>TC-CHK-032</t>
  </si>
  <si>
    <t>TC-CHK-033</t>
  </si>
  <si>
    <t>TC-CHK-034</t>
  </si>
  <si>
    <t>FR-6.1</t>
  </si>
  <si>
    <t>All fields listed should be visible</t>
  </si>
  <si>
    <t>Precondition: user should be on login page</t>
  </si>
  <si>
    <t>FR-6.2</t>
  </si>
  <si>
    <t>1. click the user icon 
2. in the login page click create new
3. observe the form fields</t>
  </si>
  <si>
    <t>verify registration page at /customer/create with fields:
-Full Name, 
-Email,
-Password</t>
  </si>
  <si>
    <t>verify that the following fields are required(*)
-Full Name, 
-Email,
-Password</t>
  </si>
  <si>
    <t>there should be asterisk beside each fields</t>
  </si>
  <si>
    <t>FR-6.1&gt;&gt;required fields</t>
  </si>
  <si>
    <t>FR-6.1&gt;&gt;Full Name fields</t>
  </si>
  <si>
    <t>verify that full name field accept only letters(No numbers)</t>
  </si>
  <si>
    <t>1. click the user icon 
2. in the login page, click create new
3. Enter number</t>
  </si>
  <si>
    <t>no:12345</t>
  </si>
  <si>
    <t>should give error message</t>
  </si>
  <si>
    <t>Error message shown: "Email is already used." Account not created.</t>
  </si>
  <si>
    <t>FR-6.1&gt;&gt;Password fields---UI/UX</t>
  </si>
  <si>
    <t>Verify that characters are masked (shown as dots or asterisks) by default.</t>
  </si>
  <si>
    <t>1. click the user icon 
2. in the login page, click create new
3. Enter a password</t>
  </si>
  <si>
    <t>password should be asterisks or dots</t>
  </si>
  <si>
    <t>verify that clicking eye icon reveals the plain text and clicking again hides it.</t>
  </si>
  <si>
    <t>1. click the user icon 
2. in the login page, click create new
3. Enter a password
4. click eye icon</t>
  </si>
  <si>
    <t>password should be revealed on clicking the eye icon and hidden when clicked again</t>
  </si>
  <si>
    <t xml:space="preserve">FR-6.3&gt;&gt; password length </t>
  </si>
  <si>
    <t>1. Navigate to registration page
2. Enter an email already registered
3. click sign up</t>
  </si>
  <si>
    <t>verify that password is a minimun of 6 characters.</t>
  </si>
  <si>
    <t>1. Navigate to registration page
2. Enter a password 
3. click sign up</t>
  </si>
  <si>
    <t>*Password</t>
  </si>
  <si>
    <t>should create account and go to homepage</t>
  </si>
  <si>
    <t>FR-6.4&gt;&gt;login page</t>
  </si>
  <si>
    <t>verify login page at /customer/login with Email and Password fields and a "Sign In" button.</t>
  </si>
  <si>
    <t>1. click the user icon 
2. observe for the fields and button</t>
  </si>
  <si>
    <t>all fields and button mention should be visbile</t>
  </si>
  <si>
    <t>FR-6.5</t>
  </si>
  <si>
    <t>Negative – FR-6.5</t>
  </si>
  <si>
    <t>FR-6.7</t>
  </si>
  <si>
    <t>FR-6.6</t>
  </si>
  <si>
    <t>Negative – FR-6.6</t>
  </si>
  <si>
    <t>TC-AUTH-010</t>
  </si>
  <si>
    <t>TC-AUTH-011</t>
  </si>
  <si>
    <t>TC-AUTH-012</t>
  </si>
  <si>
    <t>TC-AUTH-013</t>
  </si>
  <si>
    <t>TC-AUTH-014</t>
  </si>
  <si>
    <t>FR-6.9</t>
  </si>
  <si>
    <t>FR-6.10</t>
  </si>
  <si>
    <t>FR-6.11</t>
  </si>
  <si>
    <t>FR-6.13</t>
  </si>
  <si>
    <t>FR-6.14</t>
  </si>
  <si>
    <t>FR-6.12</t>
  </si>
  <si>
    <t>shipping addresses should be visibe with Edit and Delete options for each entry.</t>
  </si>
  <si>
    <t>editting a saved shipping address</t>
  </si>
  <si>
    <t>saved shipping addresses with Edit and Delete options for each entry.</t>
  </si>
  <si>
    <t>1. Go to Account → Addresses
2. Click "Edit"
3. Fill all fields
4. Save</t>
  </si>
  <si>
    <t>Precondition; Should be logged in</t>
  </si>
  <si>
    <t>FR-6.15</t>
  </si>
  <si>
    <t>should pop up shipping address form for edit
--shipping address should be updated  
--show message "address has been updated successfully"</t>
  </si>
  <si>
    <t>TC-ACC-007</t>
  </si>
  <si>
    <t>verify that user can pay with Google pay</t>
  </si>
  <si>
    <t xml:space="preserve">verify that user can pay with AliPay </t>
  </si>
  <si>
    <t>verify that user can pay with Amazon pay</t>
  </si>
  <si>
    <t>FR – Performance
(LCP &lt;2.5s)A8A8:H25</t>
  </si>
  <si>
    <t>verify that user can pay with Cash App Pay</t>
  </si>
  <si>
    <t>verify failed payment for Amazon Pay</t>
  </si>
  <si>
    <t>verify failed payment for Alipay</t>
  </si>
  <si>
    <t>verify failed payment for Google pay</t>
  </si>
  <si>
    <t>1. select "Credit Card" in the payment information section
2. select "AliPay"
3.On the test page, click the "FAIL TEST PAYMENT" button</t>
  </si>
  <si>
    <t>verify Top navigation menu displays correctly with the following;
-Shop(drop down)
-About 
-evershop logo
-search icon
-user profile icon
-shopping cart icon</t>
  </si>
  <si>
    <t xml:space="preserve">verify Hero banner section displays correctly with a Call to action button
</t>
  </si>
  <si>
    <t>verify that clicking "View Collection" Navigates to accessories page</t>
  </si>
  <si>
    <t>1. On the hompage, in the heo section 
2. click "View Collection"</t>
  </si>
  <si>
    <t xml:space="preserve">Should navigate to the accessories page
</t>
  </si>
  <si>
    <t>verify that clicking "Shop Now" Navigates to accessories page</t>
  </si>
  <si>
    <t>1. On the hompage, in the heo section 
2. click "Shop Now"</t>
  </si>
  <si>
    <t xml:space="preserve">1. Observe the navigation bar at the top of homepage
</t>
  </si>
  <si>
    <t>All nav links are visible and clickable.</t>
  </si>
  <si>
    <t>verify that "shop" is a dropdown with item "accesories"</t>
  </si>
  <si>
    <t>1.click Shop in the Nav bar
2. observe dropdown</t>
  </si>
  <si>
    <t xml:space="preserve">Accessories should be visivble </t>
  </si>
  <si>
    <t>Cliking "Accessories" from Shop dropdown navigates to accessories page</t>
  </si>
  <si>
    <t>1.click Shop in the Nav bar
2. click "Accessories"</t>
  </si>
  <si>
    <t>verfiy that clicking "About" navigates to About page</t>
  </si>
  <si>
    <t>should navigates to About page</t>
  </si>
  <si>
    <t>verfiy that clicking "search icon" The serach field open</t>
  </si>
  <si>
    <t>1. click search icon</t>
  </si>
  <si>
    <t xml:space="preserve">search box should open </t>
  </si>
  <si>
    <t>1. click user profile icon</t>
  </si>
  <si>
    <t>should navigates to login page with login forms</t>
  </si>
  <si>
    <t xml:space="preserve">verfiy that clicking "User profile icon"navigates to login page(when no accout is logged in)
</t>
  </si>
  <si>
    <t xml:space="preserve">verfiy that clicking "User profile icon"navigates to "My Account" page(when user is logged in).
</t>
  </si>
  <si>
    <t>veify Mini-cart(Your cart) opens when cart icon is click</t>
  </si>
  <si>
    <t>1. click cart icon</t>
  </si>
  <si>
    <t>Mini-cart slides out showing. Your cart is empty</t>
  </si>
  <si>
    <t>1. click evershop logo</t>
  </si>
  <si>
    <t>verify clicking evershop logo opens the home page</t>
  </si>
  <si>
    <t>verify that clicking shop kids link navigates to kids categories</t>
  </si>
  <si>
    <t>1. scroll to collection
2. click"Shop Kids"
3. view each page</t>
  </si>
  <si>
    <t xml:space="preserve">should navigate to Kids categories
</t>
  </si>
  <si>
    <t>FR-1.6&gt;&gt;Shop women link</t>
  </si>
  <si>
    <t>verify that clicking shop women link navigates to women categories</t>
  </si>
  <si>
    <t>1. scroll to collection
2. click"Shop Women"
3. view each page</t>
  </si>
  <si>
    <t xml:space="preserve">should navigate to Women categories
</t>
  </si>
  <si>
    <t>FR-1.6&gt;&gt;Shop men link</t>
  </si>
  <si>
    <t>verify that clicking shop men link navigates to men categories</t>
  </si>
  <si>
    <t>1. scroll to collection
2. click"Shop Men"
3. view each page</t>
  </si>
  <si>
    <t xml:space="preserve">should navigate to Men categories
</t>
  </si>
  <si>
    <t>FR-1.6&gt;&gt;Shop Kids link</t>
  </si>
  <si>
    <t>show numeric badge showing the total number of items in the active cart session
-show no numeric badge when no item is active</t>
  </si>
  <si>
    <t>All mentioned should be displayed</t>
  </si>
  <si>
    <t>TC-HP-019</t>
  </si>
  <si>
    <t>TC-HP-020</t>
  </si>
  <si>
    <t>TC-HP-021</t>
  </si>
  <si>
    <t>TC-HP-022</t>
  </si>
  <si>
    <t>TC-HP-023</t>
  </si>
  <si>
    <t>TC-HP-024</t>
  </si>
  <si>
    <t>TC-HP-025</t>
  </si>
  <si>
    <t>TC-HP-026</t>
  </si>
  <si>
    <t>TC-HP-027</t>
  </si>
  <si>
    <t>TC-HP-028</t>
  </si>
  <si>
    <t>TC-HP-029</t>
  </si>
  <si>
    <t>&gt;&gt;sort order</t>
  </si>
  <si>
    <t>verify that clicking sort order toogle(The Arrow with Horizontal Lines)
arrange in decending order when arrow face down</t>
  </si>
  <si>
    <t>1. click sort order toggle</t>
  </si>
  <si>
    <t>verify that clicking sort order toogle(The Arrow with Horizontal Lines)
arrange in accending order when arrow face down</t>
  </si>
  <si>
    <t>The list of items should immediately re-order in decending order</t>
  </si>
  <si>
    <t>The list of items should immediately re-order in ascending order</t>
  </si>
  <si>
    <t>"Add to Cart " button should display</t>
  </si>
  <si>
    <t>TC-CAT-026</t>
  </si>
  <si>
    <t>TC-CAT-027</t>
  </si>
  <si>
    <t>verify that the "Add to Cart" button appears only when the mouse cursor enters the specific product card boundary.</t>
  </si>
  <si>
    <t>1. Hover on the product image
2. click "Add to Cart" button</t>
  </si>
  <si>
    <t>"Add to Cart" button must add the selected product to the cart and trigger the mini-cart panel (Your cart)to open.</t>
  </si>
  <si>
    <t>verify that items in the product list have
-the product image
-product title
-product price</t>
  </si>
  <si>
    <t>1. Navigate into a category page
2. Observe category list/grid</t>
  </si>
  <si>
    <t>All product item shoulld have the listed</t>
  </si>
  <si>
    <t>TC-CAT-028</t>
  </si>
  <si>
    <t>TC-CAT-029</t>
  </si>
  <si>
    <t>verify that clicking on the product item navigates to the Product detail page</t>
  </si>
  <si>
    <t>1. click on products</t>
  </si>
  <si>
    <t>should navigates to product detail page of the products clicked</t>
  </si>
  <si>
    <t>&gt;&gt;PDP</t>
  </si>
  <si>
    <t>verify that on clicking the image, it shows in full screen</t>
  </si>
  <si>
    <t>1. click on the product image</t>
  </si>
  <si>
    <t>Product image should be viewed in full screen</t>
  </si>
  <si>
    <t>Display all available product variants  ( Color) as selectable options — buttons for size, swatches for colour.</t>
  </si>
  <si>
    <t>display color for acccesories</t>
  </si>
  <si>
    <t>verify Selecting a color variant must visually highlight the selection and update the main image if a variant-specific image exists.</t>
  </si>
  <si>
    <t>verify Variant selection – Size</t>
  </si>
  <si>
    <t>As expected</t>
  </si>
  <si>
    <t>Should navigates to accessories page(https://demo.evershop.io/accessories)</t>
  </si>
  <si>
    <t>home page should reload</t>
  </si>
  <si>
    <t>1. click "About" in the nav bar</t>
  </si>
  <si>
    <t>1. log in as a user
2.click user icon</t>
  </si>
  <si>
    <t>Email:jostemi70@gmail.com
password: Anuoluwa70@</t>
  </si>
  <si>
    <t>should navigates to My Account page(https://demo.evershop.io/account)</t>
  </si>
  <si>
    <t xml:space="preserve">verify clicking "Continue shopping" button on the cart slide closes the slide </t>
  </si>
  <si>
    <t>1. click cart icon
2. click "continue shopping"</t>
  </si>
  <si>
    <t>Mini-cart slides back in</t>
  </si>
  <si>
    <t>Some user might find it hard to read with low brightness</t>
  </si>
  <si>
    <t>Veriry that Each slide  include a headline, subheading text, a background image, and a call-to-action (CTA) button View Collection Shop Now)</t>
  </si>
  <si>
    <t>Navigates to accessories</t>
  </si>
  <si>
    <t>1. scroll to Featured Products
2. click a product
3. view the page(All)</t>
  </si>
  <si>
    <t>1. click on a featured products
2. select variants
3. click Add to cart
4. On the nav bar observe the cart icon</t>
  </si>
  <si>
    <t>should display product count on top and buttom of all the product</t>
  </si>
  <si>
    <t>Provide a "Sort By" dropdown on all category  with options: 
Default, 
Price:  and 
Name.</t>
  </si>
  <si>
    <t>Kids links navigates navigates to accessories</t>
  </si>
  <si>
    <t xml:space="preserve"> I entered(https://demo.evershop.io/kids) to go to kids page</t>
  </si>
  <si>
    <t xml:space="preserve">As expected
</t>
  </si>
  <si>
    <t>only accessories is accessible</t>
  </si>
  <si>
    <t>verify that the color filter is a checkbox list with color;
-white
-yellow
-black 
-green
-and any other colors available</t>
  </si>
  <si>
    <t>verify that price that can range;
-12 to &lt;35</t>
  </si>
  <si>
    <t xml:space="preserve">1. adjust the price 
2. range from 12 to &lt;35
</t>
  </si>
  <si>
    <t>verify that price that can range;
-&gt;12 to 35</t>
  </si>
  <si>
    <t>1. adjust the price 
2. slide from 12 forward
2. range from &gt;12 to 35</t>
  </si>
  <si>
    <t>verify that price that can range;
-&gt;12 to &lt;36</t>
  </si>
  <si>
    <t>1. adjust the price 
2. slide from 12 forward
3. slide from 35 downward
2. range from &gt;12 to 36</t>
  </si>
  <si>
    <t>should range from the following
-should display product based on the range
-if no product is in the range, shoud display "no product found"</t>
  </si>
  <si>
    <t>should display a "active filter" message saying the filters that were applied
-should display product based on the filter applied</t>
  </si>
  <si>
    <t>TC-HP-030</t>
  </si>
  <si>
    <t xml:space="preserve">Provide an option to clear all applied filters </t>
  </si>
  <si>
    <t>verify that the "clear all" restore the full unfiltered product list</t>
  </si>
  <si>
    <t>1. adjust the price 
2. select one or more colors
3. click clear all</t>
  </si>
  <si>
    <t>the products restore the full unfiltered product list</t>
  </si>
  <si>
    <t>Display real-time auto-suggestions as the user types 2 or more characters in the search bar</t>
  </si>
  <si>
    <t xml:space="preserve">1. click the search icon 
2. type "de" </t>
  </si>
  <si>
    <t>show auto suggest product with "de"</t>
  </si>
  <si>
    <t>should display "No record found for rice" under the search box
-should show "no products found" when enter is clicked</t>
  </si>
  <si>
    <t>navigates to homepage</t>
  </si>
  <si>
    <t>1. Click search icon in header
2. Type a valid product name e.g. "pen"
3. Press Enter</t>
  </si>
  <si>
    <t>1. On a category page, select "Price: 
2. click the arrow pointing down with the horinzotal lines</t>
  </si>
  <si>
    <t>1. On a category page, select "Price: 
2. click the arrow pointing up with the horinzotal lines</t>
  </si>
  <si>
    <t>TC-CAT-030</t>
  </si>
  <si>
    <t>TC-CAT-031</t>
  </si>
  <si>
    <t>TC-CAT-032</t>
  </si>
  <si>
    <t>PDP loads correctly. roduct image, title, Stock Keeping Unit(SKU), color, price, color variant, quantity textbox and "Add to cart" button are all visible.</t>
  </si>
  <si>
    <t>Image not zoomed when hovered on</t>
  </si>
  <si>
    <t>display color available for product</t>
  </si>
  <si>
    <t>PDP with size variant doesn’t exist</t>
  </si>
  <si>
    <t xml:space="preserve">1. Select a variant
2. enter  "two" in  quantity 
</t>
  </si>
  <si>
    <t>should NOT be able to type text</t>
  </si>
  <si>
    <t>verify that product image, name, selected variant, quantity, unit price, and cart subtotal are visible on "your cart" mini-cart"</t>
  </si>
  <si>
    <t xml:space="preserve">should see the - and + 
decrease till 1 should get to 1
</t>
  </si>
  <si>
    <t>verify Increase item quantity in cart stops at 99</t>
  </si>
  <si>
    <t>1. On cart page, click "+" on any item till it stops increasing</t>
  </si>
  <si>
    <t>Increment should stop at 99</t>
  </si>
  <si>
    <t>TC-CART-019</t>
  </si>
  <si>
    <t>the mentioned is visible in "order summary" section</t>
  </si>
  <si>
    <t>No coupon code</t>
  </si>
  <si>
    <t>shows "invalid coupon" message</t>
  </si>
  <si>
    <t>1. Add an item to cart
2. Click "Proceed to Checkout" on cart page</t>
  </si>
  <si>
    <t>should display home &gt; check out</t>
  </si>
  <si>
    <t>1. observe contact information section</t>
  </si>
  <si>
    <t>should display account logged in 
with the user name, user email, and a logout button</t>
  </si>
  <si>
    <t>verify that 
-email field is visible
-Already have an account "log in" link  is visible</t>
  </si>
  <si>
    <t>verify that log in link opens a password field</t>
  </si>
  <si>
    <t>verity that user can log in from contact information with valid email and password</t>
  </si>
  <si>
    <t>verify that telephone text field allows only numbers</t>
  </si>
  <si>
    <t>No error message indicated
allows number</t>
  </si>
  <si>
    <t>1. enter jostemi70gmail.com</t>
  </si>
  <si>
    <t>should indicate error message "Please enter a valid email address"</t>
  </si>
  <si>
    <t>shipping address form isn't pre-populated</t>
  </si>
  <si>
    <t>FR-5.2--Country drop down field</t>
  </si>
  <si>
    <t>1. click country 
2. observe dropdown</t>
  </si>
  <si>
    <t>should open dropdown list with only United States</t>
  </si>
  <si>
    <t xml:space="preserve">verify that country field is a dropdown with only United States </t>
  </si>
  <si>
    <t>1. make sure you are logged out
2 add item to cart
3. fill in all required  
4. select shipping method
5. select billing address
6. select payment method
7. click place order</t>
  </si>
  <si>
    <t>1. select a shipping method
2. observe the total price</t>
  </si>
  <si>
    <t>the product's image, name, color, price, subtotal, couponcode text field, apply button, the shipping method selected with its price, and total  should be visible.</t>
  </si>
  <si>
    <t>Doesn't pre-fill 
user as to fill the shipping form again</t>
  </si>
  <si>
    <t>Only shipping method rest</t>
  </si>
  <si>
    <t>No error was indicated
allow numbers</t>
  </si>
  <si>
    <t>User logged in successfully. Redirected to homepage</t>
  </si>
  <si>
    <t>Email:jostemi70@gmail.com
password: Anuolu70@</t>
  </si>
  <si>
    <t>Validation errors appear on both the email and password fields.
-Email is required
-Password is required</t>
  </si>
  <si>
    <t>User is logged out. Session is cleared. User redirected to homepage</t>
  </si>
  <si>
    <t>TC-CHK-035</t>
  </si>
  <si>
    <t>TC-CHK-036</t>
  </si>
  <si>
    <t>TC-CHK-037</t>
  </si>
  <si>
    <t>Showing "Something went wrong" message</t>
  </si>
  <si>
    <t>1. Log in as registered user
2. click the user icon</t>
  </si>
  <si>
    <t>Dashboard loads showing order history summary, links to profile, addresses.</t>
  </si>
  <si>
    <t>1. Log in as registered user
2. click the user icon
3. on Recent orders, click an order</t>
  </si>
  <si>
    <t>Order is not a link, can't be clicked</t>
  </si>
  <si>
    <t>1. select "Credit Card" in the payment information section
2. select "Google pay"
3. scroll down till you see"Test Debit: Amex"
4. select card
5. click pay</t>
  </si>
  <si>
    <t>show message card is declined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</si>
</sst>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0"/>
      <color rgb="FF000000"/>
      <name val="Arial"/>
    </font>
    <font>
      <b/>
      <sz val="11"/>
      <color rgb="FF000000"/>
      <name val="&quot;⋎ntury gothic\&quot;&quot;"/>
    </font>
    <font>
      <b/>
      <sz val="16"/>
      <color rgb="FFFFFFFF"/>
      <name val="&quot;⋎ntury gothic\&quot;&quot;"/>
    </font>
    <font>
      <b/>
      <sz val="9"/>
      <color rgb="FF000000"/>
      <name val="&quot;⋎ntury gothic\&quot;&quot;"/>
    </font>
    <font>
      <b/>
      <sz val="10"/>
      <color rgb="FFFFFFFF"/>
      <name val="&quot;⋎ntury gothic\&quot;&quot;"/>
    </font>
    <font>
      <b/>
      <sz val="10"/>
      <color rgb="FF000000"/>
      <name val="Arial"/>
    </font>
    <font>
      <b/>
      <sz val="10"/>
      <color rgb="FF000000"/>
      <name val="&quot;⋎ntury gothic\&quot;&quot;"/>
    </font>
    <font>
      <b/>
      <i/>
      <sz val="11"/>
      <color rgb="FF000000"/>
      <name val="&quot;⋎ntury gothic\&quot;&quot;"/>
    </font>
    <font>
      <sz val="10"/>
      <color theme="1"/>
      <name val="Arial"/>
    </font>
    <font>
      <sz val="10"/>
      <color theme="1"/>
      <name val="Arial"/>
    </font>
    <font>
      <b/>
      <sz val="20"/>
      <color rgb="FFFFFFFF"/>
      <name val="Century Gothic"/>
    </font>
    <font>
      <b/>
      <sz val="10"/>
      <color rgb="FF000000"/>
      <name val="Century Gothic"/>
    </font>
    <font>
      <sz val="8"/>
      <name val="Arial"/>
      <scheme val="minor"/>
    </font>
    <font>
      <sz val="18"/>
      <color rgb="FF000000"/>
      <name val="Arial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FFC000"/>
        <bgColor rgb="FFFFC000"/>
      </patternFill>
    </fill>
    <fill>
      <patternFill patternType="solid">
        <fgColor rgb="FFF6B26B"/>
        <bgColor rgb="FFF6B26B"/>
      </patternFill>
    </fill>
    <fill>
      <patternFill patternType="solid">
        <fgColor rgb="FFB3CEFA"/>
        <bgColor rgb="FFB3CEFA"/>
      </patternFill>
    </fill>
    <fill>
      <patternFill patternType="solid">
        <fgColor rgb="FFFF0000"/>
        <bgColor rgb="FFFF0000"/>
      </patternFill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2F75B5"/>
      </patternFill>
    </fill>
    <fill>
      <patternFill patternType="solid">
        <fgColor rgb="FFB3CEFA"/>
      </patternFill>
    </fill>
    <fill>
      <patternFill patternType="solid">
        <fgColor rgb="FFFBE4D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7"/>
  </cellStyleXfs>
  <cellXfs count="60">
    <xf numFmtId="0" fontId="0" fillId="0" borderId="0" xfId="0" applyBorder="1"/>
    <xf numFmtId="0" fontId="1" fillId="0" borderId="0" xfId="0" applyFont="1" applyBorder="1"/>
    <xf numFmtId="0" fontId="1" fillId="0" borderId="3" xfId="0" applyFont="1" applyBorder="1"/>
    <xf numFmtId="0" fontId="4" fillId="3" borderId="4" xfId="0" applyFont="1" applyFill="1" applyBorder="1" applyAlignment="1">
      <alignment horizontal="center"/>
    </xf>
    <xf numFmtId="0" fontId="1" fillId="2" borderId="5" xfId="0" applyFont="1" applyFill="1" applyBorder="1"/>
    <xf numFmtId="0" fontId="1" fillId="2" borderId="4" xfId="0" applyFont="1" applyFill="1" applyBorder="1"/>
    <xf numFmtId="0" fontId="1" fillId="4" borderId="4" xfId="0" applyFont="1" applyFill="1" applyBorder="1"/>
    <xf numFmtId="0" fontId="2" fillId="3" borderId="4" xfId="0" applyFont="1" applyFill="1" applyBorder="1"/>
    <xf numFmtId="0" fontId="4" fillId="0" borderId="6" xfId="0" applyFont="1" applyBorder="1" applyAlignment="1">
      <alignment horizontal="right"/>
    </xf>
    <xf numFmtId="10" fontId="4" fillId="0" borderId="6" xfId="0" applyNumberFormat="1" applyFont="1" applyBorder="1" applyAlignment="1">
      <alignment horizontal="right"/>
    </xf>
    <xf numFmtId="0" fontId="1" fillId="5" borderId="4" xfId="0" applyFont="1" applyFill="1" applyBorder="1"/>
    <xf numFmtId="0" fontId="4" fillId="0" borderId="0" xfId="0" applyFont="1" applyBorder="1" applyAlignment="1">
      <alignment horizontal="right"/>
    </xf>
    <xf numFmtId="10" fontId="4" fillId="0" borderId="0" xfId="0" applyNumberFormat="1" applyFont="1" applyBorder="1" applyAlignment="1">
      <alignment horizontal="right"/>
    </xf>
    <xf numFmtId="0" fontId="5" fillId="6" borderId="5" xfId="0" applyFont="1" applyFill="1" applyBorder="1" applyAlignment="1">
      <alignment horizontal="center" wrapText="1"/>
    </xf>
    <xf numFmtId="0" fontId="5" fillId="6" borderId="4" xfId="0" applyFont="1" applyFill="1" applyBorder="1"/>
    <xf numFmtId="0" fontId="5" fillId="6" borderId="4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/>
    </xf>
    <xf numFmtId="0" fontId="6" fillId="7" borderId="5" xfId="0" applyFont="1" applyFill="1" applyBorder="1"/>
    <xf numFmtId="0" fontId="7" fillId="7" borderId="4" xfId="0" applyFont="1" applyFill="1" applyBorder="1"/>
    <xf numFmtId="0" fontId="1" fillId="7" borderId="4" xfId="0" applyFont="1" applyFill="1" applyBorder="1"/>
    <xf numFmtId="0" fontId="1" fillId="9" borderId="7" xfId="0" applyFont="1" applyFill="1"/>
    <xf numFmtId="0" fontId="9" fillId="0" borderId="0" xfId="0" applyFont="1" applyBorder="1"/>
    <xf numFmtId="0" fontId="10" fillId="0" borderId="0" xfId="0" applyFont="1" applyBorder="1"/>
    <xf numFmtId="0" fontId="12" fillId="12" borderId="9" xfId="0" applyFont="1" applyFill="1" applyBorder="1" applyAlignment="1">
      <alignment horizontal="left" vertical="top" wrapText="1"/>
    </xf>
    <xf numFmtId="0" fontId="1" fillId="0" borderId="7" xfId="0" applyFont="1"/>
    <xf numFmtId="0" fontId="0" fillId="0" borderId="7" xfId="0"/>
    <xf numFmtId="0" fontId="1" fillId="13" borderId="7" xfId="0" applyFont="1" applyFill="1"/>
    <xf numFmtId="0" fontId="0" fillId="13" borderId="7" xfId="0" applyFill="1"/>
    <xf numFmtId="0" fontId="1" fillId="14" borderId="7" xfId="0" applyFont="1" applyFill="1"/>
    <xf numFmtId="0" fontId="0" fillId="14" borderId="7" xfId="0" applyFill="1"/>
    <xf numFmtId="0" fontId="1" fillId="15" borderId="7" xfId="0" applyFont="1" applyFill="1"/>
    <xf numFmtId="0" fontId="0" fillId="15" borderId="7" xfId="0" applyFill="1"/>
    <xf numFmtId="0" fontId="1" fillId="14" borderId="0" xfId="0" applyFont="1" applyFill="1" applyBorder="1"/>
    <xf numFmtId="0" fontId="0" fillId="14" borderId="0" xfId="0" applyFill="1" applyBorder="1"/>
    <xf numFmtId="0" fontId="1" fillId="15" borderId="0" xfId="0" applyFont="1" applyFill="1" applyBorder="1"/>
    <xf numFmtId="0" fontId="0" fillId="15" borderId="0" xfId="0" applyFill="1" applyBorder="1"/>
    <xf numFmtId="0" fontId="1" fillId="13" borderId="0" xfId="0" applyFont="1" applyFill="1" applyBorder="1"/>
    <xf numFmtId="0" fontId="0" fillId="13" borderId="0" xfId="0" applyFill="1" applyBorder="1"/>
    <xf numFmtId="0" fontId="1" fillId="2" borderId="6" xfId="0" applyFont="1" applyFill="1" applyBorder="1"/>
    <xf numFmtId="0" fontId="1" fillId="5" borderId="6" xfId="0" applyFont="1" applyFill="1" applyBorder="1"/>
    <xf numFmtId="0" fontId="5" fillId="6" borderId="6" xfId="0" applyFont="1" applyFill="1" applyBorder="1"/>
    <xf numFmtId="0" fontId="7" fillId="7" borderId="6" xfId="0" applyFont="1" applyFill="1" applyBorder="1"/>
    <xf numFmtId="0" fontId="1" fillId="5" borderId="4" xfId="0" applyFont="1" applyFill="1" applyBorder="1" applyAlignment="1">
      <alignment horizontal="center"/>
    </xf>
    <xf numFmtId="0" fontId="15" fillId="15" borderId="9" xfId="0" applyFont="1" applyFill="1" applyBorder="1" applyAlignment="1">
      <alignment horizontal="left" vertical="top" wrapText="1"/>
    </xf>
    <xf numFmtId="0" fontId="16" fillId="15" borderId="9" xfId="0" applyFont="1" applyFill="1" applyBorder="1" applyAlignment="1">
      <alignment horizontal="left" vertical="top" wrapText="1"/>
    </xf>
    <xf numFmtId="0" fontId="17" fillId="12" borderId="9" xfId="0" applyFont="1" applyFill="1" applyBorder="1" applyAlignment="1">
      <alignment horizontal="left" vertical="top" wrapText="1"/>
    </xf>
    <xf numFmtId="0" fontId="9" fillId="15" borderId="0" xfId="0" applyFont="1" applyFill="1" applyBorder="1"/>
    <xf numFmtId="0" fontId="2" fillId="0" borderId="8" xfId="0" applyFont="1" applyBorder="1"/>
    <xf numFmtId="0" fontId="0" fillId="0" borderId="2" xfId="0" applyBorder="1"/>
    <xf numFmtId="0" fontId="0" fillId="0" borderId="3" xfId="0" applyBorder="1"/>
    <xf numFmtId="0" fontId="8" fillId="8" borderId="7" xfId="0" applyFont="1" applyFill="1" applyAlignment="1">
      <alignment wrapText="1"/>
    </xf>
    <xf numFmtId="0" fontId="0" fillId="0" borderId="0" xfId="0" applyBorder="1"/>
    <xf numFmtId="0" fontId="3" fillId="2" borderId="8" xfId="0" applyFont="1" applyFill="1" applyBorder="1" applyAlignment="1">
      <alignment horizontal="center"/>
    </xf>
    <xf numFmtId="0" fontId="8" fillId="9" borderId="8" xfId="0" applyFont="1" applyFill="1" applyBorder="1" applyAlignment="1">
      <alignment wrapText="1"/>
    </xf>
    <xf numFmtId="0" fontId="0" fillId="13" borderId="2" xfId="0" applyFill="1" applyBorder="1"/>
    <xf numFmtId="0" fontId="0" fillId="13" borderId="3" xfId="0" applyFill="1" applyBorder="1"/>
    <xf numFmtId="0" fontId="11" fillId="10" borderId="7" xfId="0" applyFont="1" applyFill="1" applyAlignment="1">
      <alignment horizontal="center" vertical="center" wrapText="1"/>
    </xf>
    <xf numFmtId="0" fontId="0" fillId="0" borderId="7" xfId="0"/>
    <xf numFmtId="0" fontId="14" fillId="11" borderId="1" xfId="0" applyFont="1" applyFill="1" applyBorder="1" applyAlignment="1">
      <alignment horizontal="left" vertical="center" wrapText="1"/>
    </xf>
    <xf numFmtId="0" fontId="14" fillId="11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5">
    <dxf>
      <fill>
        <patternFill patternType="solid">
          <fgColor rgb="FF6FA8DC"/>
          <bgColor rgb="FF6FA8DC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6B26B"/>
          <bgColor rgb="FFF6B26B"/>
        </patternFill>
      </fill>
    </dxf>
    <dxf>
      <fill>
        <patternFill patternType="solid">
          <fgColor rgb="FF6AA84F"/>
          <bgColor rgb="FF6AA84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K806"/>
  <sheetViews>
    <sheetView tabSelected="1" topLeftCell="C25" zoomScale="126" zoomScaleNormal="100" workbookViewId="0">
      <selection activeCell="A10" sqref="A10"/>
    </sheetView>
  </sheetViews>
  <sheetFormatPr defaultColWidth="12.5703125" defaultRowHeight="150" customHeight="1"/>
  <cols>
    <col min="1" max="1" width="36.42578125" customWidth="1"/>
    <col min="2" max="2" width="46.42578125" customWidth="1"/>
    <col min="3" max="3" width="29.5703125" customWidth="1"/>
    <col min="4" max="4" width="34" style="25" customWidth="1"/>
    <col min="5" max="5" width="42" customWidth="1"/>
    <col min="6" max="6" width="38.85546875" customWidth="1"/>
    <col min="7" max="7" width="19" customWidth="1"/>
    <col min="8" max="8" width="44.7109375" customWidth="1"/>
    <col min="9" max="9" width="18.28515625" customWidth="1"/>
  </cols>
  <sheetData>
    <row r="1" spans="1:38" ht="150" customHeight="1">
      <c r="A1" s="56" t="s">
        <v>0</v>
      </c>
      <c r="B1" s="51"/>
      <c r="C1" s="51"/>
      <c r="D1" s="57"/>
      <c r="E1" s="51"/>
      <c r="F1" s="51"/>
      <c r="G1" s="51"/>
      <c r="H1" s="51"/>
      <c r="I1" s="51"/>
      <c r="J1" s="1"/>
      <c r="K1" s="47" t="s">
        <v>1</v>
      </c>
      <c r="L1" s="48"/>
      <c r="M1" s="49"/>
      <c r="N1" s="2"/>
      <c r="O1" s="2"/>
      <c r="P1" s="2"/>
      <c r="Q1" s="2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50" customHeight="1">
      <c r="A2" s="52"/>
      <c r="B2" s="48"/>
      <c r="C2" s="48"/>
      <c r="D2" s="48"/>
      <c r="E2" s="48"/>
      <c r="F2" s="48"/>
      <c r="G2" s="48"/>
      <c r="H2" s="48"/>
      <c r="I2" s="49"/>
      <c r="J2" s="2"/>
      <c r="K2" s="3" t="s">
        <v>2</v>
      </c>
      <c r="L2" s="3" t="s">
        <v>3</v>
      </c>
      <c r="M2" s="3" t="s">
        <v>4</v>
      </c>
      <c r="N2" s="3" t="s">
        <v>5</v>
      </c>
      <c r="O2" s="3" t="s">
        <v>6</v>
      </c>
      <c r="P2" s="3" t="s">
        <v>7</v>
      </c>
      <c r="Q2" s="3" t="s">
        <v>8</v>
      </c>
      <c r="R2" s="3" t="s">
        <v>9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98.25" customHeight="1">
      <c r="A3" s="4"/>
      <c r="B3" s="5"/>
      <c r="C3" s="5"/>
      <c r="D3" s="38"/>
      <c r="E3" s="5"/>
      <c r="F3" s="5"/>
      <c r="G3" s="5"/>
      <c r="H3" s="5"/>
      <c r="I3" s="6" t="s">
        <v>10</v>
      </c>
      <c r="J3" s="7" t="s">
        <v>11</v>
      </c>
      <c r="K3" s="8">
        <f>COUNTIF(I:I, "pass")</f>
        <v>132</v>
      </c>
      <c r="L3" s="8">
        <f>COUNTIF(I:I, "PWC")</f>
        <v>6</v>
      </c>
      <c r="M3" s="8">
        <f>COUNTIF(I:I, "fail")</f>
        <v>12</v>
      </c>
      <c r="N3" s="8">
        <f>COUNTIF(I:I, "active")</f>
        <v>0</v>
      </c>
      <c r="O3" s="8">
        <f>COUNTIF(I:I, "out-of-scope")</f>
        <v>2</v>
      </c>
      <c r="P3" s="8">
        <f>SUM(K3:O3)</f>
        <v>152</v>
      </c>
      <c r="Q3" s="9">
        <f>(K3+L3)/P3</f>
        <v>0.90789473684210531</v>
      </c>
      <c r="R3" s="9">
        <f>(K3+L3+M3)/P3</f>
        <v>0.98684210526315785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128.25" customHeight="1">
      <c r="A4" s="58" t="s">
        <v>12</v>
      </c>
      <c r="B4" s="59"/>
      <c r="C4" s="42"/>
      <c r="D4" s="39"/>
      <c r="E4" s="10"/>
      <c r="F4" s="10"/>
      <c r="G4" s="10"/>
      <c r="H4" s="10"/>
      <c r="I4" s="6"/>
      <c r="J4" s="11"/>
      <c r="K4" s="11"/>
      <c r="L4" s="11"/>
      <c r="M4" s="11"/>
      <c r="N4" s="11"/>
      <c r="O4" s="11"/>
      <c r="P4" s="11"/>
      <c r="Q4" s="12"/>
      <c r="R4" s="1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56.25" customHeight="1">
      <c r="A5" s="13" t="s">
        <v>13</v>
      </c>
      <c r="B5" s="14" t="s">
        <v>14</v>
      </c>
      <c r="C5" s="14" t="s">
        <v>15</v>
      </c>
      <c r="D5" s="40" t="s">
        <v>417</v>
      </c>
      <c r="E5" s="14" t="s">
        <v>16</v>
      </c>
      <c r="F5" s="15" t="s">
        <v>17</v>
      </c>
      <c r="G5" s="16" t="s">
        <v>18</v>
      </c>
      <c r="H5" s="16" t="s">
        <v>19</v>
      </c>
      <c r="I5" s="16" t="s">
        <v>20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ht="45" customHeight="1">
      <c r="A6" s="17"/>
      <c r="B6" s="18"/>
      <c r="C6" s="18"/>
      <c r="D6" s="41"/>
      <c r="E6" s="19"/>
      <c r="F6" s="19"/>
      <c r="G6" s="19"/>
      <c r="H6" s="19"/>
      <c r="I6" s="19"/>
      <c r="J6" s="1"/>
      <c r="K6" s="50" t="s">
        <v>21</v>
      </c>
      <c r="L6" s="51"/>
      <c r="M6" s="51"/>
      <c r="N6" s="51"/>
      <c r="O6" s="51"/>
      <c r="P6" s="51"/>
      <c r="Q6" s="51"/>
      <c r="R6" s="5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24.95" customHeight="1">
      <c r="A7" s="23" t="s">
        <v>22</v>
      </c>
      <c r="B7" s="23" t="s">
        <v>198</v>
      </c>
      <c r="C7" s="23"/>
      <c r="D7" s="23"/>
      <c r="E7" s="23"/>
      <c r="F7" s="23"/>
      <c r="G7" s="23"/>
      <c r="H7" s="23"/>
      <c r="I7" s="23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110.1" customHeight="1">
      <c r="A8" s="44" t="s">
        <v>573</v>
      </c>
      <c r="B8" s="44" t="s">
        <v>23</v>
      </c>
      <c r="C8" s="44" t="s">
        <v>24</v>
      </c>
      <c r="D8" s="44"/>
      <c r="E8" s="44" t="s">
        <v>25</v>
      </c>
      <c r="F8" s="44" t="s">
        <v>660</v>
      </c>
      <c r="G8" s="44" t="s">
        <v>26</v>
      </c>
      <c r="H8" s="44"/>
      <c r="I8" s="43" t="s">
        <v>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s="35" customFormat="1" ht="110.1" customHeight="1">
      <c r="A9" s="44" t="s">
        <v>219</v>
      </c>
      <c r="B9" s="44" t="s">
        <v>579</v>
      </c>
      <c r="C9" s="44" t="s">
        <v>586</v>
      </c>
      <c r="D9" s="44"/>
      <c r="E9" s="44" t="s">
        <v>587</v>
      </c>
      <c r="F9" s="44" t="s">
        <v>660</v>
      </c>
      <c r="G9" s="44" t="s">
        <v>28</v>
      </c>
      <c r="H9" s="44"/>
      <c r="I9" s="43" t="s">
        <v>2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</row>
    <row r="10" spans="1:38" s="31" customFormat="1" ht="110.1" customHeight="1">
      <c r="A10" s="44" t="s">
        <v>27</v>
      </c>
      <c r="B10" s="44" t="s">
        <v>588</v>
      </c>
      <c r="C10" s="44" t="s">
        <v>589</v>
      </c>
      <c r="D10" s="44"/>
      <c r="E10" s="44" t="s">
        <v>590</v>
      </c>
      <c r="F10" s="44" t="s">
        <v>660</v>
      </c>
      <c r="G10" s="44" t="s">
        <v>32</v>
      </c>
      <c r="H10" s="44"/>
      <c r="I10" s="43" t="s">
        <v>2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</row>
    <row r="11" spans="1:38" s="31" customFormat="1" ht="110.1" customHeight="1">
      <c r="A11" s="44" t="s">
        <v>27</v>
      </c>
      <c r="B11" s="44" t="s">
        <v>591</v>
      </c>
      <c r="C11" s="44" t="s">
        <v>592</v>
      </c>
      <c r="D11" s="44"/>
      <c r="E11" s="44" t="s">
        <v>661</v>
      </c>
      <c r="F11" s="44" t="s">
        <v>660</v>
      </c>
      <c r="G11" s="44" t="s">
        <v>33</v>
      </c>
      <c r="H11" s="44"/>
      <c r="I11" s="43" t="s">
        <v>2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</row>
    <row r="12" spans="1:38" s="31" customFormat="1" ht="110.1" customHeight="1">
      <c r="A12" s="44" t="s">
        <v>27</v>
      </c>
      <c r="B12" s="44" t="s">
        <v>593</v>
      </c>
      <c r="C12" s="44" t="s">
        <v>663</v>
      </c>
      <c r="D12" s="44"/>
      <c r="E12" s="44" t="s">
        <v>594</v>
      </c>
      <c r="F12" s="44" t="s">
        <v>660</v>
      </c>
      <c r="G12" s="44" t="s">
        <v>34</v>
      </c>
      <c r="H12" s="44"/>
      <c r="I12" s="43" t="s">
        <v>2</v>
      </c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</row>
    <row r="13" spans="1:38" s="31" customFormat="1" ht="110.1" customHeight="1">
      <c r="A13" s="44" t="s">
        <v>27</v>
      </c>
      <c r="B13" s="44" t="s">
        <v>595</v>
      </c>
      <c r="C13" s="44" t="s">
        <v>596</v>
      </c>
      <c r="D13" s="44"/>
      <c r="E13" s="44" t="s">
        <v>597</v>
      </c>
      <c r="F13" s="44" t="s">
        <v>660</v>
      </c>
      <c r="G13" s="44" t="s">
        <v>38</v>
      </c>
      <c r="H13" s="44"/>
      <c r="I13" s="43" t="s">
        <v>2</v>
      </c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</row>
    <row r="14" spans="1:38" s="31" customFormat="1" ht="110.1" customHeight="1">
      <c r="A14" s="44" t="s">
        <v>27</v>
      </c>
      <c r="B14" s="44" t="s">
        <v>600</v>
      </c>
      <c r="C14" s="44" t="s">
        <v>598</v>
      </c>
      <c r="D14" s="44"/>
      <c r="E14" s="44" t="s">
        <v>599</v>
      </c>
      <c r="F14" s="44" t="s">
        <v>660</v>
      </c>
      <c r="G14" s="44" t="s">
        <v>225</v>
      </c>
      <c r="H14" s="44"/>
      <c r="I14" s="43" t="s">
        <v>2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</row>
    <row r="15" spans="1:38" s="31" customFormat="1" ht="110.1" customHeight="1">
      <c r="A15" s="44" t="s">
        <v>27</v>
      </c>
      <c r="B15" s="44" t="s">
        <v>601</v>
      </c>
      <c r="C15" s="44" t="s">
        <v>664</v>
      </c>
      <c r="D15" s="44" t="s">
        <v>665</v>
      </c>
      <c r="E15" s="44" t="s">
        <v>666</v>
      </c>
      <c r="F15" s="44" t="s">
        <v>660</v>
      </c>
      <c r="G15" s="44" t="s">
        <v>226</v>
      </c>
      <c r="H15" s="44"/>
      <c r="I15" s="43" t="s">
        <v>2</v>
      </c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</row>
    <row r="16" spans="1:38" s="31" customFormat="1" ht="110.1" customHeight="1">
      <c r="A16" s="44" t="s">
        <v>27</v>
      </c>
      <c r="B16" s="44" t="s">
        <v>602</v>
      </c>
      <c r="C16" s="44" t="s">
        <v>603</v>
      </c>
      <c r="D16" s="44"/>
      <c r="E16" s="44" t="s">
        <v>604</v>
      </c>
      <c r="F16" s="44" t="s">
        <v>660</v>
      </c>
      <c r="G16" s="44" t="s">
        <v>227</v>
      </c>
      <c r="H16" s="44"/>
      <c r="I16" s="43" t="s">
        <v>2</v>
      </c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</row>
    <row r="17" spans="1:38" s="31" customFormat="1" ht="110.1" customHeight="1">
      <c r="A17" s="44" t="s">
        <v>27</v>
      </c>
      <c r="B17" s="44" t="s">
        <v>667</v>
      </c>
      <c r="C17" s="44" t="s">
        <v>668</v>
      </c>
      <c r="D17" s="44"/>
      <c r="E17" s="44" t="s">
        <v>669</v>
      </c>
      <c r="F17" s="44" t="s">
        <v>660</v>
      </c>
      <c r="G17" s="44" t="s">
        <v>228</v>
      </c>
      <c r="H17" s="44"/>
      <c r="I17" s="43" t="s">
        <v>2</v>
      </c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</row>
    <row r="18" spans="1:38" s="31" customFormat="1" ht="110.1" customHeight="1">
      <c r="A18" s="44" t="s">
        <v>27</v>
      </c>
      <c r="B18" s="44" t="s">
        <v>606</v>
      </c>
      <c r="C18" s="44" t="s">
        <v>605</v>
      </c>
      <c r="D18" s="44"/>
      <c r="E18" s="44" t="s">
        <v>662</v>
      </c>
      <c r="F18" s="44" t="s">
        <v>660</v>
      </c>
      <c r="G18" s="44" t="s">
        <v>229</v>
      </c>
      <c r="H18" s="44"/>
      <c r="I18" s="43" t="s">
        <v>2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</row>
    <row r="19" spans="1:38" ht="110.1" customHeight="1">
      <c r="A19" s="44" t="s">
        <v>29</v>
      </c>
      <c r="B19" s="44" t="s">
        <v>580</v>
      </c>
      <c r="C19" s="44" t="s">
        <v>30</v>
      </c>
      <c r="D19" s="44"/>
      <c r="E19" s="44" t="s">
        <v>31</v>
      </c>
      <c r="F19" s="44" t="s">
        <v>660</v>
      </c>
      <c r="G19" s="44" t="s">
        <v>230</v>
      </c>
      <c r="H19" s="44"/>
      <c r="I19" s="43" t="s">
        <v>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s="31" customFormat="1" ht="110.1" customHeight="1">
      <c r="A20" s="44" t="s">
        <v>27</v>
      </c>
      <c r="B20" s="44" t="s">
        <v>190</v>
      </c>
      <c r="C20" s="44" t="s">
        <v>191</v>
      </c>
      <c r="D20" s="44"/>
      <c r="E20" s="44" t="s">
        <v>192</v>
      </c>
      <c r="F20" s="44" t="s">
        <v>660</v>
      </c>
      <c r="G20" s="44" t="s">
        <v>231</v>
      </c>
      <c r="H20" s="44"/>
      <c r="I20" s="43" t="s">
        <v>2</v>
      </c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</row>
    <row r="21" spans="1:38" s="29" customFormat="1" ht="110.1" customHeight="1">
      <c r="A21" s="44" t="s">
        <v>27</v>
      </c>
      <c r="B21" s="44" t="s">
        <v>193</v>
      </c>
      <c r="C21" s="44" t="s">
        <v>194</v>
      </c>
      <c r="D21" s="44"/>
      <c r="E21" s="44" t="s">
        <v>201</v>
      </c>
      <c r="F21" s="44" t="s">
        <v>660</v>
      </c>
      <c r="G21" s="44" t="s">
        <v>232</v>
      </c>
      <c r="H21" s="44" t="s">
        <v>670</v>
      </c>
      <c r="I21" s="43" t="s">
        <v>3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</row>
    <row r="22" spans="1:38" s="31" customFormat="1" ht="110.1" customHeight="1">
      <c r="A22" s="44" t="s">
        <v>27</v>
      </c>
      <c r="B22" s="44" t="s">
        <v>196</v>
      </c>
      <c r="C22" s="44" t="s">
        <v>195</v>
      </c>
      <c r="D22" s="44"/>
      <c r="E22" s="44" t="s">
        <v>201</v>
      </c>
      <c r="F22" s="44" t="s">
        <v>660</v>
      </c>
      <c r="G22" s="44" t="s">
        <v>233</v>
      </c>
      <c r="H22" s="44" t="s">
        <v>670</v>
      </c>
      <c r="I22" s="43" t="s">
        <v>3</v>
      </c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</row>
    <row r="23" spans="1:38" s="25" customFormat="1" ht="108" customHeight="1">
      <c r="A23" s="44" t="s">
        <v>57</v>
      </c>
      <c r="B23" s="44" t="s">
        <v>671</v>
      </c>
      <c r="C23" s="44" t="s">
        <v>206</v>
      </c>
      <c r="D23" s="44"/>
      <c r="E23" s="44" t="s">
        <v>207</v>
      </c>
      <c r="F23" s="44" t="s">
        <v>660</v>
      </c>
      <c r="G23" s="44" t="s">
        <v>234</v>
      </c>
      <c r="H23" s="44"/>
      <c r="I23" s="43" t="s">
        <v>2</v>
      </c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</row>
    <row r="24" spans="1:38" s="31" customFormat="1" ht="108" customHeight="1">
      <c r="A24" s="44" t="s">
        <v>52</v>
      </c>
      <c r="B24" s="44" t="s">
        <v>208</v>
      </c>
      <c r="C24" s="44" t="s">
        <v>209</v>
      </c>
      <c r="D24" s="44"/>
      <c r="E24" s="44" t="s">
        <v>210</v>
      </c>
      <c r="F24" s="44" t="s">
        <v>660</v>
      </c>
      <c r="G24" s="44" t="s">
        <v>235</v>
      </c>
      <c r="H24" s="44"/>
      <c r="I24" s="43" t="s">
        <v>2</v>
      </c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</row>
    <row r="25" spans="1:38" s="25" customFormat="1" ht="110.1" customHeight="1">
      <c r="A25" s="44" t="s">
        <v>52</v>
      </c>
      <c r="B25" s="44" t="s">
        <v>187</v>
      </c>
      <c r="C25" s="44" t="s">
        <v>188</v>
      </c>
      <c r="D25" s="44"/>
      <c r="E25" s="44" t="s">
        <v>189</v>
      </c>
      <c r="F25" s="44" t="s">
        <v>660</v>
      </c>
      <c r="G25" s="44" t="s">
        <v>236</v>
      </c>
      <c r="H25" s="44"/>
      <c r="I25" s="43" t="s">
        <v>2</v>
      </c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</row>
    <row r="26" spans="1:38" s="25" customFormat="1" ht="110.1" customHeight="1">
      <c r="A26" s="44" t="s">
        <v>42</v>
      </c>
      <c r="B26" s="44" t="s">
        <v>581</v>
      </c>
      <c r="C26" s="44" t="s">
        <v>582</v>
      </c>
      <c r="D26" s="44"/>
      <c r="E26" s="44" t="s">
        <v>583</v>
      </c>
      <c r="F26" s="44" t="s">
        <v>660</v>
      </c>
      <c r="G26" s="44" t="s">
        <v>621</v>
      </c>
      <c r="H26" s="44"/>
      <c r="I26" s="43" t="s">
        <v>2</v>
      </c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</row>
    <row r="27" spans="1:38" s="25" customFormat="1" ht="110.1" customHeight="1">
      <c r="A27" s="44" t="s">
        <v>42</v>
      </c>
      <c r="B27" s="44" t="s">
        <v>584</v>
      </c>
      <c r="C27" s="44" t="s">
        <v>585</v>
      </c>
      <c r="D27" s="44"/>
      <c r="E27" s="44" t="s">
        <v>583</v>
      </c>
      <c r="F27" s="44" t="s">
        <v>660</v>
      </c>
      <c r="G27" s="44" t="s">
        <v>622</v>
      </c>
      <c r="H27" s="44"/>
      <c r="I27" s="43" t="s">
        <v>2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</row>
    <row r="28" spans="1:38" s="31" customFormat="1" ht="110.1" customHeight="1">
      <c r="A28" s="44" t="s">
        <v>204</v>
      </c>
      <c r="B28" s="44" t="s">
        <v>197</v>
      </c>
      <c r="C28" s="44" t="s">
        <v>199</v>
      </c>
      <c r="D28" s="44"/>
      <c r="E28" s="44" t="s">
        <v>200</v>
      </c>
      <c r="F28" s="44" t="s">
        <v>660</v>
      </c>
      <c r="G28" s="44" t="s">
        <v>623</v>
      </c>
      <c r="H28" s="44"/>
      <c r="I28" s="43" t="s">
        <v>2</v>
      </c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</row>
    <row r="29" spans="1:38" s="25" customFormat="1" ht="110.1" customHeight="1">
      <c r="A29" s="44" t="s">
        <v>618</v>
      </c>
      <c r="B29" s="44" t="s">
        <v>607</v>
      </c>
      <c r="C29" s="44" t="s">
        <v>608</v>
      </c>
      <c r="D29" s="44"/>
      <c r="E29" s="44" t="s">
        <v>609</v>
      </c>
      <c r="F29" s="44" t="s">
        <v>672</v>
      </c>
      <c r="G29" s="44" t="s">
        <v>624</v>
      </c>
      <c r="H29" s="44"/>
      <c r="I29" s="43" t="s">
        <v>4</v>
      </c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</row>
    <row r="30" spans="1:38" s="25" customFormat="1" ht="110.1" customHeight="1">
      <c r="A30" s="44" t="s">
        <v>610</v>
      </c>
      <c r="B30" s="44" t="s">
        <v>611</v>
      </c>
      <c r="C30" s="44" t="s">
        <v>612</v>
      </c>
      <c r="D30" s="44"/>
      <c r="E30" s="44" t="s">
        <v>613</v>
      </c>
      <c r="F30" s="44" t="s">
        <v>672</v>
      </c>
      <c r="G30" s="44" t="s">
        <v>625</v>
      </c>
      <c r="H30" s="44"/>
      <c r="I30" s="43" t="s">
        <v>4</v>
      </c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</row>
    <row r="31" spans="1:38" s="25" customFormat="1" ht="110.1" customHeight="1">
      <c r="A31" s="44" t="s">
        <v>614</v>
      </c>
      <c r="B31" s="44" t="s">
        <v>615</v>
      </c>
      <c r="C31" s="44" t="s">
        <v>616</v>
      </c>
      <c r="D31" s="44"/>
      <c r="E31" s="44" t="s">
        <v>617</v>
      </c>
      <c r="F31" s="44" t="s">
        <v>672</v>
      </c>
      <c r="G31" s="44" t="s">
        <v>626</v>
      </c>
      <c r="H31" s="44"/>
      <c r="I31" s="43" t="s">
        <v>4</v>
      </c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</row>
    <row r="32" spans="1:38" s="35" customFormat="1" ht="110.1" customHeight="1">
      <c r="A32" s="44" t="s">
        <v>205</v>
      </c>
      <c r="B32" s="44" t="s">
        <v>213</v>
      </c>
      <c r="C32" s="44" t="s">
        <v>216</v>
      </c>
      <c r="D32" s="44"/>
      <c r="E32" s="44" t="s">
        <v>215</v>
      </c>
      <c r="F32" s="44" t="s">
        <v>660</v>
      </c>
      <c r="G32" s="44" t="s">
        <v>627</v>
      </c>
      <c r="H32" s="44"/>
      <c r="I32" s="43" t="s">
        <v>2</v>
      </c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</row>
    <row r="33" spans="1:38" s="25" customFormat="1" ht="110.1" customHeight="1">
      <c r="A33" s="44" t="s">
        <v>211</v>
      </c>
      <c r="B33" s="44" t="s">
        <v>217</v>
      </c>
      <c r="C33" s="44" t="s">
        <v>218</v>
      </c>
      <c r="D33" s="44"/>
      <c r="E33" s="44" t="s">
        <v>214</v>
      </c>
      <c r="F33" s="44" t="s">
        <v>660</v>
      </c>
      <c r="G33" s="44" t="s">
        <v>628</v>
      </c>
      <c r="H33" s="44"/>
      <c r="I33" s="43" t="s">
        <v>2</v>
      </c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</row>
    <row r="34" spans="1:38" s="31" customFormat="1" ht="110.1" customHeight="1">
      <c r="A34" s="44" t="s">
        <v>212</v>
      </c>
      <c r="B34" s="44" t="s">
        <v>202</v>
      </c>
      <c r="C34" s="44" t="s">
        <v>673</v>
      </c>
      <c r="D34" s="44"/>
      <c r="E34" s="44" t="s">
        <v>203</v>
      </c>
      <c r="F34" s="44" t="s">
        <v>660</v>
      </c>
      <c r="G34" s="44" t="s">
        <v>629</v>
      </c>
      <c r="H34" s="44"/>
      <c r="I34" s="43" t="s">
        <v>2</v>
      </c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</row>
    <row r="35" spans="1:38" s="33" customFormat="1" ht="110.1" customHeight="1">
      <c r="A35" s="44" t="s">
        <v>222</v>
      </c>
      <c r="B35" s="44" t="s">
        <v>35</v>
      </c>
      <c r="C35" s="44" t="s">
        <v>36</v>
      </c>
      <c r="D35" s="44"/>
      <c r="E35" s="44" t="s">
        <v>37</v>
      </c>
      <c r="F35" s="44" t="s">
        <v>660</v>
      </c>
      <c r="G35" s="44" t="s">
        <v>630</v>
      </c>
      <c r="H35" s="44"/>
      <c r="I35" s="43" t="s">
        <v>2</v>
      </c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</row>
    <row r="36" spans="1:38" s="31" customFormat="1" ht="110.1" customHeight="1">
      <c r="A36" s="44" t="s">
        <v>223</v>
      </c>
      <c r="B36" s="44" t="s">
        <v>224</v>
      </c>
      <c r="C36" s="44" t="s">
        <v>674</v>
      </c>
      <c r="D36" s="44"/>
      <c r="E36" s="44" t="s">
        <v>619</v>
      </c>
      <c r="F36" s="44" t="s">
        <v>660</v>
      </c>
      <c r="G36" s="44" t="s">
        <v>631</v>
      </c>
      <c r="H36" s="44"/>
      <c r="I36" s="43" t="s">
        <v>2</v>
      </c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</row>
    <row r="37" spans="1:38" s="35" customFormat="1" ht="110.1" customHeight="1">
      <c r="A37" s="44" t="s">
        <v>221</v>
      </c>
      <c r="B37" s="44" t="s">
        <v>370</v>
      </c>
      <c r="C37" s="44" t="s">
        <v>220</v>
      </c>
      <c r="D37" s="44"/>
      <c r="E37" s="44" t="s">
        <v>620</v>
      </c>
      <c r="F37" s="44" t="s">
        <v>660</v>
      </c>
      <c r="G37" s="44" t="s">
        <v>690</v>
      </c>
      <c r="H37" s="44"/>
      <c r="I37" s="43" t="s">
        <v>2</v>
      </c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</row>
    <row r="38" spans="1:38" ht="24.95" customHeight="1">
      <c r="A38" s="45" t="s">
        <v>39</v>
      </c>
      <c r="B38" s="45" t="s">
        <v>243</v>
      </c>
      <c r="C38" s="45"/>
      <c r="D38" s="45"/>
      <c r="E38" s="45"/>
      <c r="F38" s="45"/>
      <c r="G38" s="45"/>
      <c r="H38" s="45"/>
      <c r="I38" s="4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10.1" customHeight="1">
      <c r="A39" s="44" t="s">
        <v>70</v>
      </c>
      <c r="B39" s="44" t="s">
        <v>237</v>
      </c>
      <c r="C39" s="44" t="s">
        <v>240</v>
      </c>
      <c r="D39" s="44"/>
      <c r="E39" s="44" t="s">
        <v>40</v>
      </c>
      <c r="F39" s="44" t="s">
        <v>660</v>
      </c>
      <c r="G39" s="44" t="s">
        <v>41</v>
      </c>
      <c r="H39" s="44"/>
      <c r="I39" s="43" t="s">
        <v>2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s="31" customFormat="1" ht="110.1" customHeight="1">
      <c r="A40" s="44" t="s">
        <v>238</v>
      </c>
      <c r="B40" s="44" t="s">
        <v>239</v>
      </c>
      <c r="C40" s="44" t="s">
        <v>241</v>
      </c>
      <c r="D40" s="44"/>
      <c r="E40" s="44" t="s">
        <v>65</v>
      </c>
      <c r="F40" s="44" t="s">
        <v>660</v>
      </c>
      <c r="G40" s="44" t="s">
        <v>45</v>
      </c>
      <c r="H40" s="44"/>
      <c r="I40" s="43" t="s">
        <v>2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</row>
    <row r="41" spans="1:38" s="25" customFormat="1" ht="110.1" customHeight="1">
      <c r="A41" s="44" t="s">
        <v>73</v>
      </c>
      <c r="B41" s="44" t="s">
        <v>242</v>
      </c>
      <c r="C41" s="44" t="s">
        <v>244</v>
      </c>
      <c r="D41" s="44"/>
      <c r="E41" s="44" t="s">
        <v>675</v>
      </c>
      <c r="F41" s="44" t="s">
        <v>660</v>
      </c>
      <c r="G41" s="44" t="s">
        <v>48</v>
      </c>
      <c r="H41" s="44"/>
      <c r="I41" s="43" t="s">
        <v>2</v>
      </c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</row>
    <row r="42" spans="1:38" s="27" customFormat="1" ht="108" customHeight="1">
      <c r="A42" s="44" t="s">
        <v>84</v>
      </c>
      <c r="B42" s="44" t="s">
        <v>245</v>
      </c>
      <c r="C42" s="44" t="s">
        <v>246</v>
      </c>
      <c r="D42" s="44"/>
      <c r="E42" s="44" t="s">
        <v>247</v>
      </c>
      <c r="F42" s="44" t="s">
        <v>677</v>
      </c>
      <c r="G42" s="44" t="s">
        <v>51</v>
      </c>
      <c r="H42" s="44" t="s">
        <v>678</v>
      </c>
      <c r="I42" s="43" t="s">
        <v>3</v>
      </c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</row>
    <row r="43" spans="1:38" s="25" customFormat="1" ht="110.1" customHeight="1">
      <c r="A43" s="44" t="s">
        <v>248</v>
      </c>
      <c r="B43" s="44" t="s">
        <v>249</v>
      </c>
      <c r="C43" s="44" t="s">
        <v>250</v>
      </c>
      <c r="D43" s="44"/>
      <c r="E43" s="44" t="s">
        <v>251</v>
      </c>
      <c r="F43" s="44" t="s">
        <v>660</v>
      </c>
      <c r="G43" s="44" t="s">
        <v>56</v>
      </c>
      <c r="H43" s="44"/>
      <c r="I43" s="43" t="s">
        <v>2</v>
      </c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</row>
    <row r="44" spans="1:38" s="27" customFormat="1" ht="110.1" customHeight="1">
      <c r="A44" s="44" t="s">
        <v>252</v>
      </c>
      <c r="B44" s="44" t="s">
        <v>676</v>
      </c>
      <c r="C44" s="44" t="s">
        <v>253</v>
      </c>
      <c r="D44" s="44"/>
      <c r="E44" s="44" t="s">
        <v>254</v>
      </c>
      <c r="F44" s="44" t="s">
        <v>660</v>
      </c>
      <c r="G44" s="44" t="s">
        <v>60</v>
      </c>
      <c r="H44" s="44"/>
      <c r="I44" s="43" t="s">
        <v>2</v>
      </c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</row>
    <row r="45" spans="1:38" s="25" customFormat="1" ht="110.1" customHeight="1">
      <c r="A45" s="44" t="s">
        <v>632</v>
      </c>
      <c r="B45" s="44" t="s">
        <v>635</v>
      </c>
      <c r="C45" s="44" t="s">
        <v>634</v>
      </c>
      <c r="D45" s="44"/>
      <c r="E45" s="44" t="s">
        <v>637</v>
      </c>
      <c r="F45" s="44" t="s">
        <v>660</v>
      </c>
      <c r="G45" s="44" t="s">
        <v>61</v>
      </c>
      <c r="H45" s="44"/>
      <c r="I45" s="43" t="s">
        <v>2</v>
      </c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</row>
    <row r="46" spans="1:38" s="25" customFormat="1" ht="110.1" customHeight="1">
      <c r="A46" s="44" t="s">
        <v>632</v>
      </c>
      <c r="B46" s="44" t="s">
        <v>633</v>
      </c>
      <c r="C46" s="44" t="s">
        <v>634</v>
      </c>
      <c r="D46" s="44"/>
      <c r="E46" s="44" t="s">
        <v>636</v>
      </c>
      <c r="F46" s="44" t="s">
        <v>660</v>
      </c>
      <c r="G46" s="44" t="s">
        <v>62</v>
      </c>
      <c r="H46" s="44"/>
      <c r="I46" s="43" t="s">
        <v>2</v>
      </c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</row>
    <row r="47" spans="1:38" s="25" customFormat="1" ht="110.1" customHeight="1">
      <c r="A47" s="44" t="s">
        <v>255</v>
      </c>
      <c r="B47" s="44" t="s">
        <v>258</v>
      </c>
      <c r="C47" s="44" t="s">
        <v>257</v>
      </c>
      <c r="D47" s="44"/>
      <c r="E47" s="44" t="s">
        <v>256</v>
      </c>
      <c r="F47" s="44" t="s">
        <v>660</v>
      </c>
      <c r="G47" s="44" t="s">
        <v>66</v>
      </c>
      <c r="H47" s="44"/>
      <c r="I47" s="43" t="s">
        <v>2</v>
      </c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</row>
    <row r="48" spans="1:38" s="27" customFormat="1" ht="110.1" customHeight="1">
      <c r="A48" s="44" t="s">
        <v>259</v>
      </c>
      <c r="B48" s="44" t="s">
        <v>260</v>
      </c>
      <c r="C48" s="44" t="s">
        <v>261</v>
      </c>
      <c r="D48" s="44"/>
      <c r="E48" s="44" t="s">
        <v>262</v>
      </c>
      <c r="F48" s="44" t="s">
        <v>679</v>
      </c>
      <c r="G48" s="44" t="s">
        <v>67</v>
      </c>
      <c r="H48" s="44" t="s">
        <v>680</v>
      </c>
      <c r="I48" s="43" t="s">
        <v>3</v>
      </c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</row>
    <row r="49" spans="1:38" s="25" customFormat="1" ht="110.1" customHeight="1">
      <c r="A49" s="44" t="s">
        <v>259</v>
      </c>
      <c r="B49" s="44" t="s">
        <v>270</v>
      </c>
      <c r="C49" s="44" t="s">
        <v>266</v>
      </c>
      <c r="D49" s="44"/>
      <c r="E49" s="44" t="s">
        <v>271</v>
      </c>
      <c r="F49" s="44" t="s">
        <v>679</v>
      </c>
      <c r="G49" s="44" t="s">
        <v>288</v>
      </c>
      <c r="H49" s="44"/>
      <c r="I49" s="43" t="s">
        <v>2</v>
      </c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</row>
    <row r="50" spans="1:38" s="27" customFormat="1" ht="110.1" customHeight="1">
      <c r="A50" s="44" t="s">
        <v>259</v>
      </c>
      <c r="B50" s="44" t="s">
        <v>681</v>
      </c>
      <c r="C50" s="44" t="s">
        <v>267</v>
      </c>
      <c r="D50" s="44"/>
      <c r="E50" s="44" t="s">
        <v>268</v>
      </c>
      <c r="F50" s="44" t="s">
        <v>679</v>
      </c>
      <c r="G50" s="44" t="s">
        <v>289</v>
      </c>
      <c r="H50" s="44"/>
      <c r="I50" s="43" t="s">
        <v>2</v>
      </c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</row>
    <row r="51" spans="1:38" s="25" customFormat="1" ht="110.1" customHeight="1">
      <c r="A51" s="44" t="s">
        <v>259</v>
      </c>
      <c r="B51" s="44" t="s">
        <v>682</v>
      </c>
      <c r="C51" s="44" t="s">
        <v>683</v>
      </c>
      <c r="D51" s="44"/>
      <c r="E51" s="44" t="s">
        <v>272</v>
      </c>
      <c r="F51" s="44" t="s">
        <v>679</v>
      </c>
      <c r="G51" s="44" t="s">
        <v>290</v>
      </c>
      <c r="H51" s="44"/>
      <c r="I51" s="43" t="s">
        <v>2</v>
      </c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</row>
    <row r="52" spans="1:38" s="25" customFormat="1" ht="110.1" customHeight="1">
      <c r="A52" s="44" t="s">
        <v>259</v>
      </c>
      <c r="B52" s="44" t="s">
        <v>684</v>
      </c>
      <c r="C52" s="44" t="s">
        <v>685</v>
      </c>
      <c r="D52" s="44"/>
      <c r="E52" s="44" t="s">
        <v>272</v>
      </c>
      <c r="F52" s="44" t="s">
        <v>679</v>
      </c>
      <c r="G52" s="44" t="s">
        <v>291</v>
      </c>
      <c r="H52" s="44"/>
      <c r="I52" s="43" t="s">
        <v>2</v>
      </c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</row>
    <row r="53" spans="1:38" s="25" customFormat="1" ht="110.1" customHeight="1">
      <c r="A53" s="44" t="s">
        <v>259</v>
      </c>
      <c r="B53" s="44" t="s">
        <v>686</v>
      </c>
      <c r="C53" s="44" t="s">
        <v>687</v>
      </c>
      <c r="D53" s="44"/>
      <c r="E53" s="44" t="s">
        <v>688</v>
      </c>
      <c r="F53" s="44" t="s">
        <v>679</v>
      </c>
      <c r="G53" s="44" t="s">
        <v>292</v>
      </c>
      <c r="H53" s="44"/>
      <c r="I53" s="43" t="s">
        <v>2</v>
      </c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</row>
    <row r="54" spans="1:38" s="27" customFormat="1" ht="110.1" customHeight="1">
      <c r="A54" s="44" t="s">
        <v>263</v>
      </c>
      <c r="B54" s="44" t="s">
        <v>264</v>
      </c>
      <c r="C54" s="44" t="s">
        <v>269</v>
      </c>
      <c r="D54" s="44"/>
      <c r="E54" s="44" t="s">
        <v>689</v>
      </c>
      <c r="F54" s="44" t="s">
        <v>679</v>
      </c>
      <c r="G54" s="44" t="s">
        <v>293</v>
      </c>
      <c r="H54" s="44"/>
      <c r="I54" s="43" t="s">
        <v>2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</row>
    <row r="55" spans="1:38" s="25" customFormat="1" ht="110.1" customHeight="1">
      <c r="A55" s="44" t="s">
        <v>265</v>
      </c>
      <c r="B55" s="44" t="s">
        <v>691</v>
      </c>
      <c r="C55" s="44" t="s">
        <v>269</v>
      </c>
      <c r="D55" s="44"/>
      <c r="E55" s="44" t="s">
        <v>273</v>
      </c>
      <c r="F55" s="44" t="s">
        <v>679</v>
      </c>
      <c r="G55" s="44" t="s">
        <v>294</v>
      </c>
      <c r="H55" s="44"/>
      <c r="I55" s="43" t="s">
        <v>2</v>
      </c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</row>
    <row r="56" spans="1:38" s="25" customFormat="1" ht="110.1" customHeight="1">
      <c r="A56" s="44" t="s">
        <v>265</v>
      </c>
      <c r="B56" s="44" t="s">
        <v>692</v>
      </c>
      <c r="C56" s="44" t="s">
        <v>693</v>
      </c>
      <c r="D56" s="44"/>
      <c r="E56" s="44" t="s">
        <v>694</v>
      </c>
      <c r="F56" s="44" t="s">
        <v>679</v>
      </c>
      <c r="G56" s="44" t="s">
        <v>295</v>
      </c>
      <c r="H56" s="44"/>
      <c r="I56" s="43" t="s">
        <v>2</v>
      </c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</row>
    <row r="57" spans="1:38" s="37" customFormat="1" ht="110.1" customHeight="1">
      <c r="A57" s="44" t="s">
        <v>259</v>
      </c>
      <c r="B57" s="44" t="s">
        <v>53</v>
      </c>
      <c r="C57" s="44" t="s">
        <v>54</v>
      </c>
      <c r="D57" s="44"/>
      <c r="E57" s="44" t="s">
        <v>55</v>
      </c>
      <c r="F57" s="44" t="s">
        <v>679</v>
      </c>
      <c r="G57" s="44" t="s">
        <v>296</v>
      </c>
      <c r="H57" s="44"/>
      <c r="I57" s="43" t="s">
        <v>2</v>
      </c>
      <c r="J57" s="36"/>
      <c r="K57" s="53"/>
      <c r="L57" s="54"/>
      <c r="M57" s="54"/>
      <c r="N57" s="54"/>
      <c r="O57" s="54"/>
      <c r="P57" s="54"/>
      <c r="Q57" s="54"/>
      <c r="R57" s="55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</row>
    <row r="58" spans="1:38" s="25" customFormat="1" ht="110.1" customHeight="1">
      <c r="A58" s="44" t="s">
        <v>274</v>
      </c>
      <c r="B58" s="44" t="s">
        <v>276</v>
      </c>
      <c r="C58" s="44" t="s">
        <v>277</v>
      </c>
      <c r="D58" s="44"/>
      <c r="E58" s="44" t="s">
        <v>278</v>
      </c>
      <c r="F58" s="44" t="s">
        <v>679</v>
      </c>
      <c r="G58" s="44" t="s">
        <v>297</v>
      </c>
      <c r="H58" s="44"/>
      <c r="I58" s="43" t="s">
        <v>2</v>
      </c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</row>
    <row r="59" spans="1:38" s="27" customFormat="1" ht="110.1" customHeight="1">
      <c r="A59" s="44" t="s">
        <v>279</v>
      </c>
      <c r="B59" s="44" t="s">
        <v>695</v>
      </c>
      <c r="C59" s="44" t="s">
        <v>696</v>
      </c>
      <c r="D59" s="44"/>
      <c r="E59" s="44" t="s">
        <v>697</v>
      </c>
      <c r="F59" s="44" t="s">
        <v>679</v>
      </c>
      <c r="G59" s="44" t="s">
        <v>298</v>
      </c>
      <c r="H59" s="44"/>
      <c r="I59" s="43" t="s">
        <v>2</v>
      </c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</row>
    <row r="60" spans="1:38" s="25" customFormat="1" ht="110.1" customHeight="1">
      <c r="A60" s="44" t="s">
        <v>287</v>
      </c>
      <c r="B60" s="44" t="s">
        <v>281</v>
      </c>
      <c r="C60" s="44" t="s">
        <v>284</v>
      </c>
      <c r="D60" s="44"/>
      <c r="E60" s="44" t="s">
        <v>698</v>
      </c>
      <c r="F60" s="44" t="s">
        <v>679</v>
      </c>
      <c r="G60" s="44" t="s">
        <v>299</v>
      </c>
      <c r="H60" s="44"/>
      <c r="I60" s="43" t="s">
        <v>2</v>
      </c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</row>
    <row r="61" spans="1:38" s="37" customFormat="1" ht="110.1" customHeight="1">
      <c r="A61" s="44" t="s">
        <v>280</v>
      </c>
      <c r="B61" s="44" t="s">
        <v>58</v>
      </c>
      <c r="C61" s="44" t="s">
        <v>700</v>
      </c>
      <c r="D61" s="44"/>
      <c r="E61" s="44" t="s">
        <v>59</v>
      </c>
      <c r="F61" s="44" t="s">
        <v>679</v>
      </c>
      <c r="G61" s="44" t="s">
        <v>300</v>
      </c>
      <c r="H61" s="44"/>
      <c r="I61" s="43" t="s">
        <v>2</v>
      </c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</row>
    <row r="62" spans="1:38" s="25" customFormat="1" ht="110.1" customHeight="1">
      <c r="A62" s="44" t="s">
        <v>282</v>
      </c>
      <c r="B62" s="44" t="s">
        <v>283</v>
      </c>
      <c r="C62" s="44" t="s">
        <v>285</v>
      </c>
      <c r="D62" s="44"/>
      <c r="E62" s="44" t="s">
        <v>286</v>
      </c>
      <c r="F62" s="44" t="s">
        <v>699</v>
      </c>
      <c r="G62" s="44" t="s">
        <v>301</v>
      </c>
      <c r="H62" s="44"/>
      <c r="I62" s="43" t="s">
        <v>4</v>
      </c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</row>
    <row r="63" spans="1:38" s="37" customFormat="1" ht="110.1" customHeight="1">
      <c r="A63" s="44" t="s">
        <v>73</v>
      </c>
      <c r="B63" s="44" t="s">
        <v>43</v>
      </c>
      <c r="C63" s="44" t="s">
        <v>701</v>
      </c>
      <c r="D63" s="44"/>
      <c r="E63" s="44" t="s">
        <v>44</v>
      </c>
      <c r="F63" s="44" t="s">
        <v>660</v>
      </c>
      <c r="G63" s="44" t="s">
        <v>302</v>
      </c>
      <c r="H63" s="44"/>
      <c r="I63" s="43" t="s">
        <v>2</v>
      </c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</row>
    <row r="64" spans="1:38" ht="110.1" customHeight="1">
      <c r="A64" s="44" t="s">
        <v>42</v>
      </c>
      <c r="B64" s="44" t="s">
        <v>46</v>
      </c>
      <c r="C64" s="44" t="s">
        <v>702</v>
      </c>
      <c r="D64" s="44"/>
      <c r="E64" s="44" t="s">
        <v>47</v>
      </c>
      <c r="F64" s="44" t="s">
        <v>660</v>
      </c>
      <c r="G64" s="44" t="s">
        <v>639</v>
      </c>
      <c r="H64" s="44"/>
      <c r="I64" s="43" t="s">
        <v>2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89" s="37" customFormat="1" ht="110.1" customHeight="1">
      <c r="A65" s="44" t="s">
        <v>252</v>
      </c>
      <c r="B65" s="44" t="s">
        <v>275</v>
      </c>
      <c r="C65" s="44" t="s">
        <v>49</v>
      </c>
      <c r="D65" s="44"/>
      <c r="E65" s="44" t="s">
        <v>50</v>
      </c>
      <c r="F65" s="44" t="s">
        <v>660</v>
      </c>
      <c r="G65" s="44" t="s">
        <v>640</v>
      </c>
      <c r="H65" s="44"/>
      <c r="I65" s="43" t="s">
        <v>2</v>
      </c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</row>
    <row r="66" spans="1:89" s="37" customFormat="1" ht="110.1" customHeight="1">
      <c r="A66" s="44" t="s">
        <v>29</v>
      </c>
      <c r="B66" s="44" t="s">
        <v>63</v>
      </c>
      <c r="C66" s="44" t="s">
        <v>64</v>
      </c>
      <c r="D66" s="44"/>
      <c r="E66" s="44" t="s">
        <v>65</v>
      </c>
      <c r="F66" s="44" t="s">
        <v>660</v>
      </c>
      <c r="G66" s="44" t="s">
        <v>647</v>
      </c>
      <c r="H66" s="44"/>
      <c r="I66" s="43" t="s">
        <v>2</v>
      </c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</row>
    <row r="67" spans="1:89" s="27" customFormat="1" ht="110.1" customHeight="1">
      <c r="A67" s="44" t="s">
        <v>29</v>
      </c>
      <c r="B67" s="44" t="s">
        <v>644</v>
      </c>
      <c r="C67" s="44" t="s">
        <v>645</v>
      </c>
      <c r="D67" s="44"/>
      <c r="E67" s="44" t="s">
        <v>646</v>
      </c>
      <c r="F67" s="44" t="s">
        <v>660</v>
      </c>
      <c r="G67" s="44" t="s">
        <v>648</v>
      </c>
      <c r="H67" s="44"/>
      <c r="I67" s="43" t="s">
        <v>2</v>
      </c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</row>
    <row r="68" spans="1:89" s="27" customFormat="1" ht="110.1" customHeight="1">
      <c r="A68" s="44" t="s">
        <v>29</v>
      </c>
      <c r="B68" s="44" t="s">
        <v>641</v>
      </c>
      <c r="C68" s="44" t="s">
        <v>308</v>
      </c>
      <c r="D68" s="44"/>
      <c r="E68" s="44" t="s">
        <v>638</v>
      </c>
      <c r="F68" s="44" t="s">
        <v>660</v>
      </c>
      <c r="G68" s="44" t="s">
        <v>703</v>
      </c>
      <c r="H68" s="44"/>
      <c r="I68" s="43" t="s">
        <v>2</v>
      </c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</row>
    <row r="69" spans="1:89" s="33" customFormat="1" ht="110.1" customHeight="1">
      <c r="A69" s="44" t="s">
        <v>29</v>
      </c>
      <c r="B69" s="44" t="s">
        <v>81</v>
      </c>
      <c r="C69" s="44" t="s">
        <v>642</v>
      </c>
      <c r="D69" s="44"/>
      <c r="E69" s="44" t="s">
        <v>643</v>
      </c>
      <c r="F69" s="44" t="s">
        <v>660</v>
      </c>
      <c r="G69" s="44" t="s">
        <v>704</v>
      </c>
      <c r="H69" s="44"/>
      <c r="I69" s="43" t="s">
        <v>2</v>
      </c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</row>
    <row r="70" spans="1:89" s="29" customFormat="1" ht="110.1" customHeight="1">
      <c r="A70" s="44" t="s">
        <v>652</v>
      </c>
      <c r="B70" s="44" t="s">
        <v>649</v>
      </c>
      <c r="C70" s="44" t="s">
        <v>650</v>
      </c>
      <c r="D70" s="44"/>
      <c r="E70" s="44" t="s">
        <v>651</v>
      </c>
      <c r="F70" s="44" t="s">
        <v>660</v>
      </c>
      <c r="G70" s="44" t="s">
        <v>705</v>
      </c>
      <c r="H70" s="44"/>
      <c r="I70" s="43" t="s">
        <v>2</v>
      </c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</row>
    <row r="71" spans="1:89" ht="24.95" customHeight="1">
      <c r="A71" s="45" t="s">
        <v>68</v>
      </c>
      <c r="B71" s="45" t="s">
        <v>306</v>
      </c>
      <c r="C71" s="45"/>
      <c r="D71" s="45"/>
      <c r="E71" s="45"/>
      <c r="F71" s="45"/>
      <c r="G71" s="45"/>
      <c r="H71" s="45"/>
      <c r="I71" s="45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89" ht="110.1" customHeight="1">
      <c r="A72" s="44" t="s">
        <v>87</v>
      </c>
      <c r="B72" s="44" t="s">
        <v>303</v>
      </c>
      <c r="C72" s="44" t="s">
        <v>304</v>
      </c>
      <c r="D72" s="44"/>
      <c r="E72" s="44" t="s">
        <v>706</v>
      </c>
      <c r="F72" s="44" t="s">
        <v>660</v>
      </c>
      <c r="G72" s="44" t="s">
        <v>69</v>
      </c>
      <c r="H72" s="44"/>
      <c r="I72" s="43" t="s">
        <v>2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89" s="27" customFormat="1" ht="110.1" customHeight="1">
      <c r="A73" s="44" t="s">
        <v>92</v>
      </c>
      <c r="B73" s="44" t="s">
        <v>305</v>
      </c>
      <c r="C73" s="44" t="s">
        <v>308</v>
      </c>
      <c r="D73" s="44"/>
      <c r="E73" s="44" t="s">
        <v>307</v>
      </c>
      <c r="F73" s="44" t="s">
        <v>707</v>
      </c>
      <c r="G73" s="44" t="s">
        <v>71</v>
      </c>
      <c r="H73" s="44"/>
      <c r="I73" s="43" t="s">
        <v>4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89" s="27" customFormat="1" ht="110.1" customHeight="1">
      <c r="A74" s="44" t="s">
        <v>92</v>
      </c>
      <c r="B74" s="44" t="s">
        <v>653</v>
      </c>
      <c r="C74" s="44" t="s">
        <v>654</v>
      </c>
      <c r="D74" s="44"/>
      <c r="E74" s="44" t="s">
        <v>655</v>
      </c>
      <c r="F74" s="44" t="s">
        <v>660</v>
      </c>
      <c r="G74" s="44" t="s">
        <v>72</v>
      </c>
      <c r="H74" s="44"/>
      <c r="I74" s="43" t="s">
        <v>2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89" s="27" customFormat="1" ht="110.1" customHeight="1">
      <c r="A75" s="44" t="s">
        <v>110</v>
      </c>
      <c r="B75" s="44" t="s">
        <v>309</v>
      </c>
      <c r="C75" s="44" t="s">
        <v>310</v>
      </c>
      <c r="D75" s="44"/>
      <c r="E75" s="44" t="s">
        <v>311</v>
      </c>
      <c r="F75" s="44" t="s">
        <v>660</v>
      </c>
      <c r="G75" s="44" t="s">
        <v>76</v>
      </c>
      <c r="H75" s="44"/>
      <c r="I75" s="43" t="s">
        <v>2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89" s="25" customFormat="1" ht="110.1" customHeight="1">
      <c r="A76" s="44" t="s">
        <v>126</v>
      </c>
      <c r="B76" s="44" t="s">
        <v>656</v>
      </c>
      <c r="C76" s="44" t="s">
        <v>312</v>
      </c>
      <c r="D76" s="44"/>
      <c r="E76" s="44" t="s">
        <v>657</v>
      </c>
      <c r="F76" s="44" t="s">
        <v>660</v>
      </c>
      <c r="G76" s="44" t="s">
        <v>80</v>
      </c>
      <c r="H76" s="44" t="s">
        <v>708</v>
      </c>
      <c r="I76" s="43" t="s">
        <v>3</v>
      </c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89" s="27" customFormat="1" ht="110.1" customHeight="1">
      <c r="A77" s="44" t="s">
        <v>313</v>
      </c>
      <c r="B77" s="44" t="s">
        <v>658</v>
      </c>
      <c r="C77" s="44" t="s">
        <v>314</v>
      </c>
      <c r="D77" s="44"/>
      <c r="E77" s="44" t="s">
        <v>315</v>
      </c>
      <c r="F77" s="44" t="s">
        <v>660</v>
      </c>
      <c r="G77" s="44" t="s">
        <v>82</v>
      </c>
      <c r="H77" s="44"/>
      <c r="I77" s="43" t="s">
        <v>2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89" s="25" customFormat="1" ht="110.1" customHeight="1">
      <c r="A78" s="44" t="s">
        <v>318</v>
      </c>
      <c r="B78" s="44" t="s">
        <v>316</v>
      </c>
      <c r="C78" s="44" t="s">
        <v>319</v>
      </c>
      <c r="D78" s="44"/>
      <c r="E78" s="44" t="s">
        <v>320</v>
      </c>
      <c r="F78" s="44" t="s">
        <v>660</v>
      </c>
      <c r="G78" s="44" t="s">
        <v>83</v>
      </c>
      <c r="H78" s="44"/>
      <c r="I78" s="43" t="s">
        <v>2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89" ht="110.1" customHeight="1">
      <c r="A79" s="44" t="s">
        <v>126</v>
      </c>
      <c r="B79" s="44" t="s">
        <v>659</v>
      </c>
      <c r="C79" s="44" t="s">
        <v>74</v>
      </c>
      <c r="D79" s="44"/>
      <c r="E79" s="44" t="s">
        <v>75</v>
      </c>
      <c r="F79" s="44"/>
      <c r="G79" s="44" t="s">
        <v>85</v>
      </c>
      <c r="H79" s="44" t="s">
        <v>709</v>
      </c>
      <c r="I79" s="43" t="s">
        <v>6</v>
      </c>
    </row>
    <row r="80" spans="1:89" ht="110.1" customHeight="1">
      <c r="A80" s="44" t="s">
        <v>126</v>
      </c>
      <c r="B80" s="44" t="s">
        <v>77</v>
      </c>
      <c r="C80" s="44" t="s">
        <v>78</v>
      </c>
      <c r="D80" s="44"/>
      <c r="E80" s="44" t="s">
        <v>79</v>
      </c>
      <c r="F80" s="44" t="s">
        <v>660</v>
      </c>
      <c r="G80" s="44" t="s">
        <v>333</v>
      </c>
      <c r="H80" s="44"/>
      <c r="I80" s="43" t="s">
        <v>2</v>
      </c>
    </row>
    <row r="81" spans="1:9" s="27" customFormat="1" ht="110.1" customHeight="1">
      <c r="A81" s="44" t="s">
        <v>317</v>
      </c>
      <c r="B81" s="44" t="s">
        <v>323</v>
      </c>
      <c r="C81" s="44" t="s">
        <v>326</v>
      </c>
      <c r="D81" s="44"/>
      <c r="E81" s="44" t="s">
        <v>324</v>
      </c>
      <c r="F81" s="44" t="s">
        <v>660</v>
      </c>
      <c r="G81" s="44" t="s">
        <v>334</v>
      </c>
      <c r="H81" s="44"/>
      <c r="I81" s="43" t="s">
        <v>2</v>
      </c>
    </row>
    <row r="82" spans="1:9" s="29" customFormat="1" ht="110.1" customHeight="1">
      <c r="A82" s="44" t="s">
        <v>327</v>
      </c>
      <c r="B82" s="44" t="s">
        <v>325</v>
      </c>
      <c r="C82" s="44" t="s">
        <v>710</v>
      </c>
      <c r="D82" s="44"/>
      <c r="E82" s="44" t="s">
        <v>711</v>
      </c>
      <c r="F82" s="44" t="s">
        <v>660</v>
      </c>
      <c r="G82" s="44" t="s">
        <v>335</v>
      </c>
      <c r="H82" s="44"/>
      <c r="I82" s="43" t="s">
        <v>2</v>
      </c>
    </row>
    <row r="83" spans="1:9" s="27" customFormat="1" ht="110.1" customHeight="1">
      <c r="A83" s="44" t="s">
        <v>328</v>
      </c>
      <c r="B83" s="44" t="s">
        <v>329</v>
      </c>
      <c r="C83" s="44" t="s">
        <v>330</v>
      </c>
      <c r="D83" s="44"/>
      <c r="E83" s="44" t="s">
        <v>331</v>
      </c>
      <c r="F83" s="44" t="s">
        <v>660</v>
      </c>
      <c r="G83" s="44" t="s">
        <v>336</v>
      </c>
      <c r="H83" s="44"/>
      <c r="I83" s="43" t="s">
        <v>2</v>
      </c>
    </row>
    <row r="84" spans="1:9" s="33" customFormat="1" ht="110.1" customHeight="1">
      <c r="A84" s="44" t="s">
        <v>322</v>
      </c>
      <c r="B84" s="44" t="s">
        <v>81</v>
      </c>
      <c r="C84" s="44" t="s">
        <v>321</v>
      </c>
      <c r="D84" s="44"/>
      <c r="E84" s="44" t="s">
        <v>332</v>
      </c>
      <c r="F84" s="44" t="s">
        <v>660</v>
      </c>
      <c r="G84" s="44" t="s">
        <v>337</v>
      </c>
      <c r="H84" s="44"/>
      <c r="I84" s="43" t="s">
        <v>2</v>
      </c>
    </row>
    <row r="85" spans="1:9" ht="24.95" customHeight="1">
      <c r="A85" s="45" t="s">
        <v>86</v>
      </c>
      <c r="B85" s="45" t="s">
        <v>306</v>
      </c>
      <c r="C85" s="45"/>
      <c r="D85" s="45"/>
      <c r="E85" s="45"/>
      <c r="F85" s="45"/>
      <c r="G85" s="45"/>
      <c r="H85" s="45"/>
      <c r="I85" s="45"/>
    </row>
    <row r="86" spans="1:9" ht="110.1" customHeight="1">
      <c r="A86" s="44" t="s">
        <v>136</v>
      </c>
      <c r="B86" s="44" t="s">
        <v>338</v>
      </c>
      <c r="C86" s="44" t="s">
        <v>88</v>
      </c>
      <c r="D86" s="44"/>
      <c r="E86" s="44" t="s">
        <v>89</v>
      </c>
      <c r="F86" s="44" t="s">
        <v>660</v>
      </c>
      <c r="G86" s="44" t="s">
        <v>90</v>
      </c>
      <c r="H86" s="44"/>
      <c r="I86" s="43" t="s">
        <v>2</v>
      </c>
    </row>
    <row r="87" spans="1:9" s="31" customFormat="1" ht="110.1" customHeight="1">
      <c r="A87" s="44" t="s">
        <v>163</v>
      </c>
      <c r="B87" s="44" t="s">
        <v>712</v>
      </c>
      <c r="C87" s="44" t="s">
        <v>88</v>
      </c>
      <c r="D87" s="44"/>
      <c r="E87" s="44" t="s">
        <v>89</v>
      </c>
      <c r="F87" s="44" t="s">
        <v>660</v>
      </c>
      <c r="G87" s="44" t="s">
        <v>91</v>
      </c>
      <c r="H87" s="44"/>
      <c r="I87" s="43" t="s">
        <v>2</v>
      </c>
    </row>
    <row r="88" spans="1:9" s="25" customFormat="1" ht="110.1" customHeight="1">
      <c r="A88" s="44" t="s">
        <v>174</v>
      </c>
      <c r="B88" s="44" t="s">
        <v>339</v>
      </c>
      <c r="C88" s="44" t="s">
        <v>88</v>
      </c>
      <c r="D88" s="44"/>
      <c r="E88" s="44" t="s">
        <v>340</v>
      </c>
      <c r="F88" s="44" t="s">
        <v>660</v>
      </c>
      <c r="G88" s="44" t="s">
        <v>95</v>
      </c>
      <c r="H88" s="44"/>
      <c r="I88" s="43" t="s">
        <v>2</v>
      </c>
    </row>
    <row r="89" spans="1:9" s="31" customFormat="1" ht="110.1" customHeight="1">
      <c r="A89" s="44" t="s">
        <v>183</v>
      </c>
      <c r="B89" s="44" t="s">
        <v>349</v>
      </c>
      <c r="C89" s="44" t="s">
        <v>342</v>
      </c>
      <c r="D89" s="44"/>
      <c r="E89" s="44" t="s">
        <v>350</v>
      </c>
      <c r="F89" s="44" t="s">
        <v>660</v>
      </c>
      <c r="G89" s="44" t="s">
        <v>99</v>
      </c>
      <c r="H89" s="44"/>
      <c r="I89" s="43" t="s">
        <v>2</v>
      </c>
    </row>
    <row r="90" spans="1:9" s="25" customFormat="1" ht="110.1" customHeight="1">
      <c r="A90" s="44" t="s">
        <v>183</v>
      </c>
      <c r="B90" s="44" t="s">
        <v>343</v>
      </c>
      <c r="C90" s="44" t="s">
        <v>344</v>
      </c>
      <c r="D90" s="44"/>
      <c r="E90" s="44" t="s">
        <v>345</v>
      </c>
      <c r="F90" s="44" t="s">
        <v>660</v>
      </c>
      <c r="G90" s="44" t="s">
        <v>100</v>
      </c>
      <c r="H90" s="44"/>
      <c r="I90" s="43" t="s">
        <v>2</v>
      </c>
    </row>
    <row r="91" spans="1:9" s="31" customFormat="1" ht="110.1" customHeight="1">
      <c r="A91" s="44" t="s">
        <v>341</v>
      </c>
      <c r="B91" s="44" t="s">
        <v>347</v>
      </c>
      <c r="C91" s="44" t="s">
        <v>346</v>
      </c>
      <c r="D91" s="44"/>
      <c r="E91" s="44" t="s">
        <v>713</v>
      </c>
      <c r="F91" s="44" t="s">
        <v>660</v>
      </c>
      <c r="G91" s="44" t="s">
        <v>101</v>
      </c>
      <c r="H91" s="44"/>
      <c r="I91" s="43" t="s">
        <v>2</v>
      </c>
    </row>
    <row r="92" spans="1:9" ht="110.1" customHeight="1">
      <c r="A92" s="44" t="s">
        <v>364</v>
      </c>
      <c r="B92" s="44" t="s">
        <v>365</v>
      </c>
      <c r="C92" s="44" t="s">
        <v>93</v>
      </c>
      <c r="D92" s="44"/>
      <c r="E92" s="44" t="s">
        <v>94</v>
      </c>
      <c r="F92" s="44" t="s">
        <v>660</v>
      </c>
      <c r="G92" s="44" t="s">
        <v>102</v>
      </c>
      <c r="H92" s="44"/>
      <c r="I92" s="43" t="s">
        <v>2</v>
      </c>
    </row>
    <row r="93" spans="1:9" s="25" customFormat="1" ht="110.1" customHeight="1">
      <c r="A93" s="44" t="s">
        <v>364</v>
      </c>
      <c r="B93" s="44" t="s">
        <v>714</v>
      </c>
      <c r="C93" s="44" t="s">
        <v>715</v>
      </c>
      <c r="D93" s="44"/>
      <c r="E93" s="44" t="s">
        <v>716</v>
      </c>
      <c r="F93" s="44" t="s">
        <v>660</v>
      </c>
      <c r="G93" s="44" t="s">
        <v>106</v>
      </c>
      <c r="H93" s="44"/>
      <c r="I93" s="43" t="s">
        <v>2</v>
      </c>
    </row>
    <row r="94" spans="1:9" ht="110.1" customHeight="1">
      <c r="A94" s="44" t="s">
        <v>366</v>
      </c>
      <c r="B94" s="44" t="s">
        <v>96</v>
      </c>
      <c r="C94" s="44" t="s">
        <v>97</v>
      </c>
      <c r="D94" s="44"/>
      <c r="E94" s="44" t="s">
        <v>98</v>
      </c>
      <c r="F94" s="44" t="s">
        <v>660</v>
      </c>
      <c r="G94" s="44" t="s">
        <v>371</v>
      </c>
      <c r="H94" s="44"/>
      <c r="I94" s="43" t="s">
        <v>2</v>
      </c>
    </row>
    <row r="95" spans="1:9" s="25" customFormat="1" ht="110.1" customHeight="1">
      <c r="A95" s="44" t="s">
        <v>367</v>
      </c>
      <c r="B95" s="44" t="s">
        <v>348</v>
      </c>
      <c r="C95" s="44" t="s">
        <v>351</v>
      </c>
      <c r="D95" s="44"/>
      <c r="E95" s="44" t="s">
        <v>368</v>
      </c>
      <c r="F95" s="44" t="s">
        <v>660</v>
      </c>
      <c r="G95" s="44" t="s">
        <v>372</v>
      </c>
      <c r="H95" s="44"/>
      <c r="I95" s="43" t="s">
        <v>2</v>
      </c>
    </row>
    <row r="96" spans="1:9" s="31" customFormat="1" ht="110.1" customHeight="1">
      <c r="A96" s="44" t="s">
        <v>352</v>
      </c>
      <c r="B96" s="44" t="s">
        <v>353</v>
      </c>
      <c r="C96" s="44" t="s">
        <v>357</v>
      </c>
      <c r="D96" s="44"/>
      <c r="E96" s="44" t="s">
        <v>361</v>
      </c>
      <c r="F96" s="44" t="s">
        <v>660</v>
      </c>
      <c r="G96" s="44" t="s">
        <v>373</v>
      </c>
      <c r="H96" s="44"/>
      <c r="I96" s="43" t="s">
        <v>2</v>
      </c>
    </row>
    <row r="97" spans="1:9" s="33" customFormat="1" ht="110.1" customHeight="1">
      <c r="A97" s="44" t="s">
        <v>369</v>
      </c>
      <c r="B97" s="44" t="s">
        <v>103</v>
      </c>
      <c r="C97" s="44" t="s">
        <v>104</v>
      </c>
      <c r="D97" s="44"/>
      <c r="E97" s="44" t="s">
        <v>105</v>
      </c>
      <c r="F97" s="44" t="s">
        <v>660</v>
      </c>
      <c r="G97" s="44" t="s">
        <v>374</v>
      </c>
      <c r="H97" s="44"/>
      <c r="I97" s="43" t="s">
        <v>2</v>
      </c>
    </row>
    <row r="98" spans="1:9" s="31" customFormat="1" ht="110.1" customHeight="1">
      <c r="A98" s="44" t="s">
        <v>354</v>
      </c>
      <c r="B98" s="44" t="s">
        <v>358</v>
      </c>
      <c r="C98" s="44" t="s">
        <v>359</v>
      </c>
      <c r="D98" s="44"/>
      <c r="E98" s="44" t="s">
        <v>360</v>
      </c>
      <c r="F98" s="44" t="s">
        <v>660</v>
      </c>
      <c r="G98" s="44" t="s">
        <v>375</v>
      </c>
      <c r="H98" s="44"/>
      <c r="I98" s="43" t="s">
        <v>2</v>
      </c>
    </row>
    <row r="99" spans="1:9" s="25" customFormat="1" ht="110.1" customHeight="1">
      <c r="A99" s="44" t="s">
        <v>355</v>
      </c>
      <c r="B99" s="44" t="s">
        <v>356</v>
      </c>
      <c r="C99" s="44" t="s">
        <v>362</v>
      </c>
      <c r="D99" s="44"/>
      <c r="E99" s="44" t="s">
        <v>363</v>
      </c>
      <c r="F99" s="44" t="s">
        <v>660</v>
      </c>
      <c r="G99" s="44" t="s">
        <v>392</v>
      </c>
      <c r="H99" s="44"/>
      <c r="I99" s="43" t="s">
        <v>2</v>
      </c>
    </row>
    <row r="100" spans="1:9" s="31" customFormat="1" ht="110.1" customHeight="1">
      <c r="A100" s="44" t="s">
        <v>378</v>
      </c>
      <c r="B100" s="44" t="s">
        <v>376</v>
      </c>
      <c r="C100" s="44" t="s">
        <v>381</v>
      </c>
      <c r="D100" s="44"/>
      <c r="E100" s="44" t="s">
        <v>718</v>
      </c>
      <c r="F100" s="44" t="s">
        <v>660</v>
      </c>
      <c r="G100" s="44" t="s">
        <v>393</v>
      </c>
      <c r="H100" s="44"/>
      <c r="I100" s="43" t="s">
        <v>2</v>
      </c>
    </row>
    <row r="101" spans="1:9" s="25" customFormat="1" ht="110.1" customHeight="1">
      <c r="A101" s="44" t="s">
        <v>379</v>
      </c>
      <c r="B101" s="44" t="s">
        <v>383</v>
      </c>
      <c r="C101" s="44" t="s">
        <v>382</v>
      </c>
      <c r="D101" s="44"/>
      <c r="E101" s="44" t="s">
        <v>384</v>
      </c>
      <c r="F101" s="44"/>
      <c r="G101" s="44" t="s">
        <v>394</v>
      </c>
      <c r="H101" s="44" t="s">
        <v>719</v>
      </c>
      <c r="I101" s="43" t="s">
        <v>6</v>
      </c>
    </row>
    <row r="102" spans="1:9" s="31" customFormat="1" ht="110.1" customHeight="1">
      <c r="A102" s="44" t="s">
        <v>380</v>
      </c>
      <c r="B102" s="44" t="s">
        <v>377</v>
      </c>
      <c r="C102" s="44" t="s">
        <v>382</v>
      </c>
      <c r="D102" s="44"/>
      <c r="E102" s="44" t="s">
        <v>720</v>
      </c>
      <c r="F102" s="44" t="s">
        <v>660</v>
      </c>
      <c r="G102" s="44" t="s">
        <v>395</v>
      </c>
      <c r="H102" s="44"/>
      <c r="I102" s="43" t="s">
        <v>2</v>
      </c>
    </row>
    <row r="103" spans="1:9" s="25" customFormat="1" ht="110.1" customHeight="1">
      <c r="A103" s="44" t="s">
        <v>385</v>
      </c>
      <c r="B103" s="44" t="s">
        <v>386</v>
      </c>
      <c r="C103" s="44" t="s">
        <v>387</v>
      </c>
      <c r="D103" s="44"/>
      <c r="E103" s="44" t="s">
        <v>388</v>
      </c>
      <c r="F103" s="44" t="s">
        <v>660</v>
      </c>
      <c r="G103" s="44" t="s">
        <v>396</v>
      </c>
      <c r="H103" s="44"/>
      <c r="I103" s="43" t="s">
        <v>2</v>
      </c>
    </row>
    <row r="104" spans="1:9" s="31" customFormat="1" ht="110.1" customHeight="1">
      <c r="A104" s="44" t="s">
        <v>389</v>
      </c>
      <c r="B104" s="44" t="s">
        <v>390</v>
      </c>
      <c r="C104" s="44" t="s">
        <v>344</v>
      </c>
      <c r="D104" s="44"/>
      <c r="E104" s="44" t="s">
        <v>391</v>
      </c>
      <c r="F104" s="44" t="s">
        <v>660</v>
      </c>
      <c r="G104" s="44" t="s">
        <v>717</v>
      </c>
      <c r="H104" s="44"/>
      <c r="I104" s="43" t="s">
        <v>2</v>
      </c>
    </row>
    <row r="105" spans="1:9" ht="24.95" customHeight="1">
      <c r="A105" s="45" t="s">
        <v>107</v>
      </c>
      <c r="B105" s="45" t="s">
        <v>402</v>
      </c>
      <c r="C105" s="45"/>
      <c r="D105" s="45"/>
      <c r="E105" s="45"/>
      <c r="F105" s="45"/>
      <c r="G105" s="45"/>
      <c r="H105" s="45"/>
      <c r="I105" s="45"/>
    </row>
    <row r="106" spans="1:9" ht="110.1" customHeight="1">
      <c r="A106" s="44" t="s">
        <v>397</v>
      </c>
      <c r="B106" s="44" t="s">
        <v>488</v>
      </c>
      <c r="C106" s="44" t="s">
        <v>721</v>
      </c>
      <c r="D106" s="44"/>
      <c r="E106" s="44" t="s">
        <v>108</v>
      </c>
      <c r="F106" s="44" t="s">
        <v>660</v>
      </c>
      <c r="G106" s="44" t="s">
        <v>109</v>
      </c>
      <c r="H106" s="44"/>
      <c r="I106" s="43" t="s">
        <v>2</v>
      </c>
    </row>
    <row r="107" spans="1:9" s="35" customFormat="1" ht="110.1" customHeight="1">
      <c r="A107" s="44" t="s">
        <v>397</v>
      </c>
      <c r="B107" s="44" t="s">
        <v>398</v>
      </c>
      <c r="C107" s="44" t="s">
        <v>399</v>
      </c>
      <c r="D107" s="44"/>
      <c r="E107" s="44" t="s">
        <v>722</v>
      </c>
      <c r="F107" s="44" t="s">
        <v>660</v>
      </c>
      <c r="G107" s="44" t="s">
        <v>114</v>
      </c>
      <c r="H107" s="44"/>
      <c r="I107" s="43" t="s">
        <v>2</v>
      </c>
    </row>
    <row r="108" spans="1:9" s="25" customFormat="1" ht="110.1" customHeight="1">
      <c r="A108" s="44" t="s">
        <v>409</v>
      </c>
      <c r="B108" s="44" t="s">
        <v>400</v>
      </c>
      <c r="C108" s="44" t="s">
        <v>723</v>
      </c>
      <c r="D108" s="44"/>
      <c r="E108" s="44" t="s">
        <v>724</v>
      </c>
      <c r="F108" s="44" t="s">
        <v>660</v>
      </c>
      <c r="G108" s="44" t="s">
        <v>115</v>
      </c>
      <c r="H108" s="44"/>
      <c r="I108" s="43" t="s">
        <v>2</v>
      </c>
    </row>
    <row r="109" spans="1:9" s="31" customFormat="1" ht="110.1" customHeight="1">
      <c r="A109" s="44" t="s">
        <v>410</v>
      </c>
      <c r="B109" s="44" t="s">
        <v>403</v>
      </c>
      <c r="C109" s="44" t="s">
        <v>404</v>
      </c>
      <c r="D109" s="44"/>
      <c r="E109" s="44" t="s">
        <v>405</v>
      </c>
      <c r="F109" s="44" t="s">
        <v>660</v>
      </c>
      <c r="G109" s="44" t="s">
        <v>116</v>
      </c>
      <c r="H109" s="44"/>
      <c r="I109" s="43" t="s">
        <v>2</v>
      </c>
    </row>
    <row r="110" spans="1:9" s="25" customFormat="1" ht="110.1" customHeight="1">
      <c r="A110" s="44" t="s">
        <v>411</v>
      </c>
      <c r="B110" s="44" t="s">
        <v>725</v>
      </c>
      <c r="C110" s="44" t="s">
        <v>401</v>
      </c>
      <c r="D110" s="44"/>
      <c r="E110" s="44" t="s">
        <v>406</v>
      </c>
      <c r="F110" s="44" t="s">
        <v>660</v>
      </c>
      <c r="G110" s="44" t="s">
        <v>117</v>
      </c>
      <c r="H110" s="44"/>
      <c r="I110" s="43" t="s">
        <v>2</v>
      </c>
    </row>
    <row r="111" spans="1:9" s="31" customFormat="1" ht="110.1" customHeight="1">
      <c r="A111" s="44" t="s">
        <v>412</v>
      </c>
      <c r="B111" s="44" t="s">
        <v>726</v>
      </c>
      <c r="C111" s="44" t="s">
        <v>407</v>
      </c>
      <c r="D111" s="44"/>
      <c r="E111" s="44" t="s">
        <v>408</v>
      </c>
      <c r="F111" s="44" t="s">
        <v>660</v>
      </c>
      <c r="G111" s="44" t="s">
        <v>118</v>
      </c>
      <c r="H111" s="44"/>
      <c r="I111" s="43" t="s">
        <v>2</v>
      </c>
    </row>
    <row r="112" spans="1:9" s="25" customFormat="1" ht="110.1" customHeight="1">
      <c r="A112" s="44" t="s">
        <v>413</v>
      </c>
      <c r="B112" s="44" t="s">
        <v>727</v>
      </c>
      <c r="C112" s="44" t="s">
        <v>414</v>
      </c>
      <c r="D112" s="44" t="s">
        <v>418</v>
      </c>
      <c r="E112" s="44" t="s">
        <v>415</v>
      </c>
      <c r="F112" s="44" t="s">
        <v>660</v>
      </c>
      <c r="G112" s="44" t="s">
        <v>121</v>
      </c>
      <c r="H112" s="44"/>
      <c r="I112" s="43" t="s">
        <v>2</v>
      </c>
    </row>
    <row r="113" spans="1:9" s="31" customFormat="1" ht="110.1" customHeight="1">
      <c r="A113" s="44" t="s">
        <v>419</v>
      </c>
      <c r="B113" s="44" t="s">
        <v>416</v>
      </c>
      <c r="C113" s="44" t="s">
        <v>420</v>
      </c>
      <c r="D113" s="44" t="s">
        <v>421</v>
      </c>
      <c r="E113" s="44" t="s">
        <v>422</v>
      </c>
      <c r="F113" s="44" t="s">
        <v>660</v>
      </c>
      <c r="G113" s="44" t="s">
        <v>125</v>
      </c>
      <c r="H113" s="44"/>
      <c r="I113" s="43" t="s">
        <v>2</v>
      </c>
    </row>
    <row r="114" spans="1:9" s="25" customFormat="1" ht="110.1" customHeight="1">
      <c r="A114" s="44" t="s">
        <v>397</v>
      </c>
      <c r="B114" s="44" t="s">
        <v>426</v>
      </c>
      <c r="C114" s="44" t="s">
        <v>423</v>
      </c>
      <c r="D114" s="44"/>
      <c r="E114" s="44" t="s">
        <v>424</v>
      </c>
      <c r="F114" s="44" t="s">
        <v>660</v>
      </c>
      <c r="G114" s="44" t="s">
        <v>130</v>
      </c>
      <c r="H114" s="44"/>
      <c r="I114" s="43" t="s">
        <v>2</v>
      </c>
    </row>
    <row r="115" spans="1:9" s="31" customFormat="1" ht="138" customHeight="1">
      <c r="A115" s="44" t="s">
        <v>425</v>
      </c>
      <c r="B115" s="44" t="s">
        <v>427</v>
      </c>
      <c r="C115" s="44" t="s">
        <v>423</v>
      </c>
      <c r="D115" s="44"/>
      <c r="E115" s="44" t="s">
        <v>428</v>
      </c>
      <c r="F115" s="44" t="s">
        <v>660</v>
      </c>
      <c r="G115" s="44" t="s">
        <v>134</v>
      </c>
      <c r="H115" s="44"/>
      <c r="I115" s="43" t="s">
        <v>2</v>
      </c>
    </row>
    <row r="116" spans="1:9" s="25" customFormat="1" ht="110.1" customHeight="1">
      <c r="A116" s="44" t="s">
        <v>430</v>
      </c>
      <c r="B116" s="44" t="s">
        <v>728</v>
      </c>
      <c r="C116" s="44" t="s">
        <v>451</v>
      </c>
      <c r="D116" s="44"/>
      <c r="E116" s="44" t="s">
        <v>431</v>
      </c>
      <c r="F116" s="44" t="s">
        <v>729</v>
      </c>
      <c r="G116" s="44" t="s">
        <v>490</v>
      </c>
      <c r="H116" s="44"/>
      <c r="I116" s="43" t="s">
        <v>4</v>
      </c>
    </row>
    <row r="117" spans="1:9" s="25" customFormat="1" ht="110.1" customHeight="1">
      <c r="A117" s="44" t="s">
        <v>733</v>
      </c>
      <c r="B117" s="44" t="s">
        <v>736</v>
      </c>
      <c r="C117" s="44" t="s">
        <v>734</v>
      </c>
      <c r="D117" s="44"/>
      <c r="E117" s="44" t="s">
        <v>735</v>
      </c>
      <c r="F117" s="44" t="s">
        <v>660</v>
      </c>
      <c r="G117" s="44" t="s">
        <v>491</v>
      </c>
      <c r="H117" s="44"/>
      <c r="I117" s="43" t="s">
        <v>2</v>
      </c>
    </row>
    <row r="118" spans="1:9" s="31" customFormat="1" ht="110.1" customHeight="1">
      <c r="A118" s="44" t="s">
        <v>429</v>
      </c>
      <c r="B118" s="44" t="s">
        <v>432</v>
      </c>
      <c r="C118" s="44" t="s">
        <v>730</v>
      </c>
      <c r="D118" s="44"/>
      <c r="E118" s="44" t="s">
        <v>731</v>
      </c>
      <c r="F118" s="44" t="s">
        <v>660</v>
      </c>
      <c r="G118" s="44" t="s">
        <v>492</v>
      </c>
      <c r="H118" s="44"/>
      <c r="I118" s="43" t="s">
        <v>2</v>
      </c>
    </row>
    <row r="119" spans="1:9" s="25" customFormat="1" ht="110.1" customHeight="1">
      <c r="A119" s="44" t="s">
        <v>434</v>
      </c>
      <c r="B119" s="44" t="s">
        <v>433</v>
      </c>
      <c r="C119" s="44" t="s">
        <v>453</v>
      </c>
      <c r="D119" s="44"/>
      <c r="E119" s="44" t="s">
        <v>436</v>
      </c>
      <c r="F119" s="44" t="s">
        <v>732</v>
      </c>
      <c r="G119" s="44" t="s">
        <v>493</v>
      </c>
      <c r="H119" s="44"/>
      <c r="I119" s="43" t="s">
        <v>4</v>
      </c>
    </row>
    <row r="120" spans="1:9" s="31" customFormat="1" ht="109.5" customHeight="1">
      <c r="A120" s="44" t="s">
        <v>435</v>
      </c>
      <c r="B120" s="44" t="s">
        <v>437</v>
      </c>
      <c r="C120" s="44" t="s">
        <v>737</v>
      </c>
      <c r="D120" s="44"/>
      <c r="E120" s="44" t="s">
        <v>438</v>
      </c>
      <c r="F120" s="44" t="s">
        <v>660</v>
      </c>
      <c r="G120" s="44" t="s">
        <v>494</v>
      </c>
      <c r="H120" s="44"/>
      <c r="I120" s="43" t="s">
        <v>2</v>
      </c>
    </row>
    <row r="121" spans="1:9" s="25" customFormat="1" ht="110.1" customHeight="1">
      <c r="A121" s="44" t="s">
        <v>439</v>
      </c>
      <c r="B121" s="44" t="s">
        <v>440</v>
      </c>
      <c r="C121" s="44" t="s">
        <v>441</v>
      </c>
      <c r="D121" s="44"/>
      <c r="E121" s="44" t="s">
        <v>442</v>
      </c>
      <c r="F121" s="44" t="s">
        <v>660</v>
      </c>
      <c r="G121" s="44" t="s">
        <v>495</v>
      </c>
      <c r="H121" s="44"/>
      <c r="I121" s="43" t="s">
        <v>2</v>
      </c>
    </row>
    <row r="122" spans="1:9" s="31" customFormat="1" ht="110.1" customHeight="1">
      <c r="A122" s="44" t="s">
        <v>443</v>
      </c>
      <c r="B122" s="44" t="s">
        <v>444</v>
      </c>
      <c r="C122" s="44" t="s">
        <v>738</v>
      </c>
      <c r="D122" s="44"/>
      <c r="E122" s="44" t="s">
        <v>445</v>
      </c>
      <c r="F122" s="44" t="s">
        <v>660</v>
      </c>
      <c r="G122" s="44" t="s">
        <v>496</v>
      </c>
      <c r="H122" s="44"/>
      <c r="I122" s="43" t="s">
        <v>2</v>
      </c>
    </row>
    <row r="123" spans="1:9" s="25" customFormat="1" ht="110.1" customHeight="1">
      <c r="A123" s="44" t="s">
        <v>446</v>
      </c>
      <c r="B123" s="44" t="s">
        <v>447</v>
      </c>
      <c r="C123" s="44" t="s">
        <v>449</v>
      </c>
      <c r="D123" s="44"/>
      <c r="E123" s="44" t="s">
        <v>739</v>
      </c>
      <c r="F123" s="44" t="s">
        <v>660</v>
      </c>
      <c r="G123" s="44" t="s">
        <v>497</v>
      </c>
      <c r="H123" s="44"/>
      <c r="I123" s="43" t="s">
        <v>2</v>
      </c>
    </row>
    <row r="124" spans="1:9" s="31" customFormat="1" ht="110.1" customHeight="1">
      <c r="A124" s="44" t="s">
        <v>448</v>
      </c>
      <c r="B124" s="44" t="s">
        <v>450</v>
      </c>
      <c r="C124" s="44" t="s">
        <v>452</v>
      </c>
      <c r="D124" s="44"/>
      <c r="E124" s="44" t="s">
        <v>454</v>
      </c>
      <c r="F124" s="44" t="s">
        <v>660</v>
      </c>
      <c r="G124" s="44" t="s">
        <v>498</v>
      </c>
      <c r="H124" s="44"/>
      <c r="I124" s="43" t="s">
        <v>2</v>
      </c>
    </row>
    <row r="125" spans="1:9" s="25" customFormat="1" ht="110.1" customHeight="1">
      <c r="A125" s="44" t="s">
        <v>448</v>
      </c>
      <c r="B125" s="44" t="s">
        <v>456</v>
      </c>
      <c r="C125" s="44" t="s">
        <v>452</v>
      </c>
      <c r="D125" s="44"/>
      <c r="E125" s="44" t="s">
        <v>457</v>
      </c>
      <c r="F125" s="44" t="s">
        <v>660</v>
      </c>
      <c r="G125" s="44" t="s">
        <v>499</v>
      </c>
      <c r="H125" s="44"/>
      <c r="I125" s="43" t="s">
        <v>2</v>
      </c>
    </row>
    <row r="126" spans="1:9" s="31" customFormat="1" ht="110.1" customHeight="1">
      <c r="A126" s="44" t="s">
        <v>448</v>
      </c>
      <c r="B126" s="44" t="s">
        <v>464</v>
      </c>
      <c r="C126" s="44" t="s">
        <v>465</v>
      </c>
      <c r="D126" s="44" t="s">
        <v>472</v>
      </c>
      <c r="E126" s="44" t="s">
        <v>466</v>
      </c>
      <c r="F126" s="44" t="s">
        <v>660</v>
      </c>
      <c r="G126" s="44" t="s">
        <v>500</v>
      </c>
      <c r="H126" s="44"/>
      <c r="I126" s="43" t="s">
        <v>2</v>
      </c>
    </row>
    <row r="127" spans="1:9" s="25" customFormat="1" ht="110.1" customHeight="1">
      <c r="A127" s="44" t="s">
        <v>448</v>
      </c>
      <c r="B127" s="44" t="s">
        <v>570</v>
      </c>
      <c r="C127" s="44" t="s">
        <v>458</v>
      </c>
      <c r="D127" s="44"/>
      <c r="E127" s="44" t="s">
        <v>459</v>
      </c>
      <c r="F127" s="44" t="s">
        <v>660</v>
      </c>
      <c r="G127" s="44" t="s">
        <v>501</v>
      </c>
      <c r="H127" s="44"/>
      <c r="I127" s="43" t="s">
        <v>2</v>
      </c>
    </row>
    <row r="128" spans="1:9" s="31" customFormat="1" ht="110.1" customHeight="1">
      <c r="A128" s="44" t="s">
        <v>448</v>
      </c>
      <c r="B128" s="44" t="s">
        <v>571</v>
      </c>
      <c r="C128" s="44" t="s">
        <v>460</v>
      </c>
      <c r="D128" s="44"/>
      <c r="E128" s="44" t="s">
        <v>461</v>
      </c>
      <c r="F128" s="44" t="s">
        <v>660</v>
      </c>
      <c r="G128" s="44" t="s">
        <v>502</v>
      </c>
      <c r="H128" s="44"/>
      <c r="I128" s="43" t="s">
        <v>2</v>
      </c>
    </row>
    <row r="129" spans="1:9" s="25" customFormat="1" ht="143.25" customHeight="1">
      <c r="A129" s="44" t="s">
        <v>448</v>
      </c>
      <c r="B129" s="44" t="s">
        <v>572</v>
      </c>
      <c r="C129" s="44" t="s">
        <v>462</v>
      </c>
      <c r="D129" s="44"/>
      <c r="E129" s="44" t="s">
        <v>477</v>
      </c>
      <c r="F129" s="44" t="s">
        <v>660</v>
      </c>
      <c r="G129" s="44" t="s">
        <v>503</v>
      </c>
      <c r="H129" s="44"/>
      <c r="I129" s="43" t="s">
        <v>2</v>
      </c>
    </row>
    <row r="130" spans="1:9" s="31" customFormat="1" ht="110.1" customHeight="1">
      <c r="A130" s="44" t="s">
        <v>448</v>
      </c>
      <c r="B130" s="44" t="s">
        <v>574</v>
      </c>
      <c r="C130" s="44" t="s">
        <v>462</v>
      </c>
      <c r="D130" s="44"/>
      <c r="E130" s="44" t="s">
        <v>463</v>
      </c>
      <c r="F130" s="44" t="s">
        <v>660</v>
      </c>
      <c r="G130" s="44" t="s">
        <v>504</v>
      </c>
      <c r="H130" s="44"/>
      <c r="I130" s="43" t="s">
        <v>2</v>
      </c>
    </row>
    <row r="131" spans="1:9" s="25" customFormat="1" ht="110.1" customHeight="1">
      <c r="A131" s="44" t="s">
        <v>469</v>
      </c>
      <c r="B131" s="44" t="s">
        <v>467</v>
      </c>
      <c r="C131" s="44" t="s">
        <v>468</v>
      </c>
      <c r="D131" s="44" t="s">
        <v>471</v>
      </c>
      <c r="E131" s="44" t="s">
        <v>470</v>
      </c>
      <c r="F131" s="44" t="s">
        <v>660</v>
      </c>
      <c r="G131" s="44" t="s">
        <v>505</v>
      </c>
      <c r="H131" s="44"/>
      <c r="I131" s="43" t="s">
        <v>2</v>
      </c>
    </row>
    <row r="132" spans="1:9" s="31" customFormat="1" ht="110.1" customHeight="1">
      <c r="A132" s="44" t="s">
        <v>469</v>
      </c>
      <c r="B132" s="44" t="s">
        <v>575</v>
      </c>
      <c r="C132" s="44" t="s">
        <v>473</v>
      </c>
      <c r="D132" s="44"/>
      <c r="E132" s="44" t="s">
        <v>470</v>
      </c>
      <c r="F132" s="44" t="s">
        <v>660</v>
      </c>
      <c r="G132" s="44" t="s">
        <v>506</v>
      </c>
      <c r="H132" s="44"/>
      <c r="I132" s="43" t="s">
        <v>2</v>
      </c>
    </row>
    <row r="133" spans="1:9" s="31" customFormat="1" ht="110.1" customHeight="1">
      <c r="A133" s="44" t="s">
        <v>469</v>
      </c>
      <c r="B133" s="44" t="s">
        <v>576</v>
      </c>
      <c r="C133" s="44" t="s">
        <v>578</v>
      </c>
      <c r="D133" s="44"/>
      <c r="E133" s="44" t="s">
        <v>470</v>
      </c>
      <c r="F133" s="44" t="s">
        <v>660</v>
      </c>
      <c r="G133" s="44" t="s">
        <v>507</v>
      </c>
      <c r="H133" s="44"/>
      <c r="I133" s="43" t="s">
        <v>2</v>
      </c>
    </row>
    <row r="134" spans="1:9" s="31" customFormat="1" ht="110.1" customHeight="1">
      <c r="A134" s="44" t="s">
        <v>469</v>
      </c>
      <c r="B134" s="44" t="s">
        <v>577</v>
      </c>
      <c r="C134" s="44" t="s">
        <v>755</v>
      </c>
      <c r="D134" s="44"/>
      <c r="E134" s="44" t="s">
        <v>756</v>
      </c>
      <c r="F134" s="44" t="s">
        <v>660</v>
      </c>
      <c r="G134" s="44" t="s">
        <v>508</v>
      </c>
      <c r="H134" s="44"/>
      <c r="I134" s="43" t="s">
        <v>2</v>
      </c>
    </row>
    <row r="135" spans="1:9" s="25" customFormat="1" ht="110.1" customHeight="1">
      <c r="A135" s="44" t="s">
        <v>455</v>
      </c>
      <c r="B135" s="44" t="s">
        <v>474</v>
      </c>
      <c r="C135" s="44" t="s">
        <v>475</v>
      </c>
      <c r="D135" s="44"/>
      <c r="E135" s="44" t="s">
        <v>483</v>
      </c>
      <c r="F135" s="44" t="s">
        <v>660</v>
      </c>
      <c r="G135" s="44" t="s">
        <v>509</v>
      </c>
      <c r="H135" s="44"/>
      <c r="I135" s="43" t="s">
        <v>2</v>
      </c>
    </row>
    <row r="136" spans="1:9" s="31" customFormat="1" ht="110.1" customHeight="1">
      <c r="A136" s="44" t="s">
        <v>476</v>
      </c>
      <c r="B136" s="44" t="s">
        <v>478</v>
      </c>
      <c r="C136" s="44" t="s">
        <v>481</v>
      </c>
      <c r="D136" s="44"/>
      <c r="E136" s="44" t="s">
        <v>484</v>
      </c>
      <c r="F136" s="44" t="s">
        <v>660</v>
      </c>
      <c r="G136" s="44" t="s">
        <v>510</v>
      </c>
      <c r="H136" s="44"/>
      <c r="I136" s="43" t="s">
        <v>2</v>
      </c>
    </row>
    <row r="137" spans="1:9" s="33" customFormat="1" ht="110.1" customHeight="1">
      <c r="A137" s="44" t="s">
        <v>479</v>
      </c>
      <c r="B137" s="44" t="s">
        <v>111</v>
      </c>
      <c r="C137" s="44" t="s">
        <v>112</v>
      </c>
      <c r="D137" s="44"/>
      <c r="E137" s="44" t="s">
        <v>113</v>
      </c>
      <c r="F137" s="44" t="s">
        <v>660</v>
      </c>
      <c r="G137" s="44" t="s">
        <v>511</v>
      </c>
      <c r="H137" s="44"/>
      <c r="I137" s="43" t="s">
        <v>2</v>
      </c>
    </row>
    <row r="138" spans="1:9" s="31" customFormat="1" ht="110.1" customHeight="1">
      <c r="A138" s="44" t="s">
        <v>455</v>
      </c>
      <c r="B138" s="44" t="s">
        <v>480</v>
      </c>
      <c r="C138" s="44" t="s">
        <v>482</v>
      </c>
      <c r="D138" s="44"/>
      <c r="E138" s="44" t="s">
        <v>485</v>
      </c>
      <c r="F138" s="44" t="s">
        <v>660</v>
      </c>
      <c r="G138" s="44" t="s">
        <v>512</v>
      </c>
      <c r="H138" s="44"/>
      <c r="I138" s="43" t="s">
        <v>2</v>
      </c>
    </row>
    <row r="139" spans="1:9" ht="110.1" customHeight="1">
      <c r="A139" s="44" t="s">
        <v>486</v>
      </c>
      <c r="B139" s="44" t="s">
        <v>119</v>
      </c>
      <c r="C139" s="44" t="s">
        <v>120</v>
      </c>
      <c r="D139" s="44"/>
      <c r="E139" s="44" t="s">
        <v>487</v>
      </c>
      <c r="F139" s="44" t="s">
        <v>660</v>
      </c>
      <c r="G139" s="44" t="s">
        <v>513</v>
      </c>
      <c r="H139" s="44"/>
      <c r="I139" s="43" t="s">
        <v>2</v>
      </c>
    </row>
    <row r="140" spans="1:9" s="35" customFormat="1" ht="110.1" customHeight="1">
      <c r="A140" s="44" t="s">
        <v>479</v>
      </c>
      <c r="B140" s="44" t="s">
        <v>122</v>
      </c>
      <c r="C140" s="44" t="s">
        <v>123</v>
      </c>
      <c r="D140" s="44"/>
      <c r="E140" s="44" t="s">
        <v>124</v>
      </c>
      <c r="F140" s="44" t="s">
        <v>740</v>
      </c>
      <c r="G140" s="44" t="s">
        <v>747</v>
      </c>
      <c r="H140" s="44"/>
      <c r="I140" s="43" t="s">
        <v>4</v>
      </c>
    </row>
    <row r="141" spans="1:9" ht="110.1" customHeight="1">
      <c r="A141" s="44" t="s">
        <v>479</v>
      </c>
      <c r="B141" s="44" t="s">
        <v>127</v>
      </c>
      <c r="C141" s="44" t="s">
        <v>128</v>
      </c>
      <c r="D141" s="44"/>
      <c r="E141" s="44" t="s">
        <v>129</v>
      </c>
      <c r="F141" s="44" t="s">
        <v>660</v>
      </c>
      <c r="G141" s="44" t="s">
        <v>748</v>
      </c>
      <c r="H141" s="44"/>
      <c r="I141" s="43" t="s">
        <v>2</v>
      </c>
    </row>
    <row r="142" spans="1:9" s="35" customFormat="1" ht="110.1" customHeight="1">
      <c r="A142" s="44" t="s">
        <v>489</v>
      </c>
      <c r="B142" s="44" t="s">
        <v>131</v>
      </c>
      <c r="C142" s="44" t="s">
        <v>132</v>
      </c>
      <c r="D142" s="44"/>
      <c r="E142" s="44" t="s">
        <v>133</v>
      </c>
      <c r="F142" s="44" t="s">
        <v>660</v>
      </c>
      <c r="G142" s="44" t="s">
        <v>749</v>
      </c>
      <c r="H142" s="44" t="s">
        <v>741</v>
      </c>
      <c r="I142" s="43" t="s">
        <v>3</v>
      </c>
    </row>
    <row r="143" spans="1:9" ht="24.95" customHeight="1">
      <c r="A143" s="45" t="s">
        <v>135</v>
      </c>
      <c r="B143" s="45" t="s">
        <v>516</v>
      </c>
      <c r="C143" s="45"/>
      <c r="D143" s="45"/>
      <c r="E143" s="45"/>
      <c r="F143" s="45"/>
      <c r="G143" s="45"/>
      <c r="H143" s="45"/>
      <c r="I143" s="45"/>
    </row>
    <row r="144" spans="1:9" ht="110.1" customHeight="1">
      <c r="A144" s="44" t="s">
        <v>514</v>
      </c>
      <c r="B144" s="44" t="s">
        <v>519</v>
      </c>
      <c r="C144" s="44" t="s">
        <v>518</v>
      </c>
      <c r="D144" s="44"/>
      <c r="E144" s="44" t="s">
        <v>515</v>
      </c>
      <c r="F144" s="44" t="s">
        <v>660</v>
      </c>
      <c r="G144" s="44" t="s">
        <v>137</v>
      </c>
      <c r="H144" s="44"/>
      <c r="I144" s="43" t="s">
        <v>2</v>
      </c>
    </row>
    <row r="145" spans="1:9" s="31" customFormat="1" ht="110.1" customHeight="1">
      <c r="A145" s="44" t="s">
        <v>522</v>
      </c>
      <c r="B145" s="44" t="s">
        <v>520</v>
      </c>
      <c r="C145" s="44" t="s">
        <v>518</v>
      </c>
      <c r="D145" s="44"/>
      <c r="E145" s="44" t="s">
        <v>521</v>
      </c>
      <c r="F145" s="44" t="s">
        <v>660</v>
      </c>
      <c r="G145" s="44" t="s">
        <v>139</v>
      </c>
      <c r="H145" s="44"/>
      <c r="I145" s="43" t="s">
        <v>2</v>
      </c>
    </row>
    <row r="146" spans="1:9" s="25" customFormat="1" ht="110.1" customHeight="1">
      <c r="A146" s="44" t="s">
        <v>523</v>
      </c>
      <c r="B146" s="44" t="s">
        <v>524</v>
      </c>
      <c r="C146" s="44" t="s">
        <v>525</v>
      </c>
      <c r="D146" s="44" t="s">
        <v>526</v>
      </c>
      <c r="E146" s="44" t="s">
        <v>527</v>
      </c>
      <c r="F146" s="44" t="s">
        <v>742</v>
      </c>
      <c r="G146" s="44" t="s">
        <v>140</v>
      </c>
      <c r="H146" s="44"/>
      <c r="I146" s="43" t="s">
        <v>4</v>
      </c>
    </row>
    <row r="147" spans="1:9" s="31" customFormat="1" ht="110.1" customHeight="1">
      <c r="A147" s="44" t="s">
        <v>529</v>
      </c>
      <c r="B147" s="44" t="s">
        <v>530</v>
      </c>
      <c r="C147" s="44" t="s">
        <v>531</v>
      </c>
      <c r="D147" s="44"/>
      <c r="E147" s="44" t="s">
        <v>532</v>
      </c>
      <c r="F147" s="44" t="s">
        <v>660</v>
      </c>
      <c r="G147" s="44" t="s">
        <v>143</v>
      </c>
      <c r="H147" s="44"/>
      <c r="I147" s="43" t="s">
        <v>2</v>
      </c>
    </row>
    <row r="148" spans="1:9" s="25" customFormat="1" ht="110.1" customHeight="1">
      <c r="A148" s="44" t="s">
        <v>529</v>
      </c>
      <c r="B148" s="44" t="s">
        <v>533</v>
      </c>
      <c r="C148" s="44" t="s">
        <v>534</v>
      </c>
      <c r="D148" s="44"/>
      <c r="E148" s="44" t="s">
        <v>535</v>
      </c>
      <c r="F148" s="44" t="s">
        <v>660</v>
      </c>
      <c r="G148" s="44" t="s">
        <v>147</v>
      </c>
      <c r="H148" s="44"/>
      <c r="I148" s="43" t="s">
        <v>2</v>
      </c>
    </row>
    <row r="149" spans="1:9" s="35" customFormat="1" ht="110.1" customHeight="1">
      <c r="A149" s="44" t="s">
        <v>517</v>
      </c>
      <c r="B149" s="44" t="s">
        <v>138</v>
      </c>
      <c r="C149" s="44" t="s">
        <v>537</v>
      </c>
      <c r="D149" s="44"/>
      <c r="E149" s="44" t="s">
        <v>528</v>
      </c>
      <c r="F149" s="44" t="s">
        <v>660</v>
      </c>
      <c r="G149" s="44" t="s">
        <v>150</v>
      </c>
      <c r="H149" s="44"/>
      <c r="I149" s="43" t="s">
        <v>2</v>
      </c>
    </row>
    <row r="150" spans="1:9" s="29" customFormat="1" ht="110.1" customHeight="1">
      <c r="A150" s="44" t="s">
        <v>536</v>
      </c>
      <c r="B150" s="44" t="s">
        <v>538</v>
      </c>
      <c r="C150" s="44" t="s">
        <v>539</v>
      </c>
      <c r="D150" s="44" t="s">
        <v>540</v>
      </c>
      <c r="E150" s="44" t="s">
        <v>541</v>
      </c>
      <c r="F150" s="44" t="s">
        <v>660</v>
      </c>
      <c r="G150" s="44" t="s">
        <v>153</v>
      </c>
      <c r="H150" s="44"/>
      <c r="I150" s="43" t="s">
        <v>2</v>
      </c>
    </row>
    <row r="151" spans="1:9" s="31" customFormat="1" ht="110.1" customHeight="1">
      <c r="A151" s="44" t="s">
        <v>542</v>
      </c>
      <c r="B151" s="44" t="s">
        <v>543</v>
      </c>
      <c r="C151" s="44" t="s">
        <v>544</v>
      </c>
      <c r="D151" s="44"/>
      <c r="E151" s="44" t="s">
        <v>545</v>
      </c>
      <c r="F151" s="44" t="s">
        <v>660</v>
      </c>
      <c r="G151" s="44" t="s">
        <v>157</v>
      </c>
      <c r="H151" s="44"/>
      <c r="I151" s="43" t="s">
        <v>2</v>
      </c>
    </row>
    <row r="152" spans="1:9" s="33" customFormat="1" ht="110.1" customHeight="1">
      <c r="A152" s="44" t="s">
        <v>546</v>
      </c>
      <c r="B152" s="44" t="s">
        <v>141</v>
      </c>
      <c r="C152" s="44" t="s">
        <v>142</v>
      </c>
      <c r="D152" s="44" t="s">
        <v>665</v>
      </c>
      <c r="E152" s="44" t="s">
        <v>743</v>
      </c>
      <c r="F152" s="44" t="s">
        <v>660</v>
      </c>
      <c r="G152" s="44" t="s">
        <v>161</v>
      </c>
      <c r="H152" s="44"/>
      <c r="I152" s="43" t="s">
        <v>2</v>
      </c>
    </row>
    <row r="153" spans="1:9" s="35" customFormat="1" ht="110.1" customHeight="1">
      <c r="A153" s="44" t="s">
        <v>547</v>
      </c>
      <c r="B153" s="44" t="s">
        <v>144</v>
      </c>
      <c r="C153" s="44" t="s">
        <v>145</v>
      </c>
      <c r="D153" s="44" t="s">
        <v>744</v>
      </c>
      <c r="E153" s="44" t="s">
        <v>146</v>
      </c>
      <c r="F153" s="44" t="s">
        <v>660</v>
      </c>
      <c r="G153" s="44" t="s">
        <v>551</v>
      </c>
      <c r="H153" s="44"/>
      <c r="I153" s="43" t="s">
        <v>2</v>
      </c>
    </row>
    <row r="154" spans="1:9" s="33" customFormat="1" ht="110.1" customHeight="1">
      <c r="A154" s="44" t="s">
        <v>547</v>
      </c>
      <c r="B154" s="44" t="s">
        <v>148</v>
      </c>
      <c r="C154" s="44" t="s">
        <v>149</v>
      </c>
      <c r="D154" s="44"/>
      <c r="E154" s="44" t="s">
        <v>745</v>
      </c>
      <c r="F154" s="44" t="s">
        <v>660</v>
      </c>
      <c r="G154" s="44" t="s">
        <v>552</v>
      </c>
      <c r="H154" s="44"/>
      <c r="I154" s="43" t="s">
        <v>2</v>
      </c>
    </row>
    <row r="155" spans="1:9" s="35" customFormat="1" ht="110.1" customHeight="1">
      <c r="A155" s="44" t="s">
        <v>548</v>
      </c>
      <c r="B155" s="44" t="s">
        <v>151</v>
      </c>
      <c r="C155" s="44" t="s">
        <v>152</v>
      </c>
      <c r="D155" s="44"/>
      <c r="E155" s="44" t="s">
        <v>746</v>
      </c>
      <c r="F155" s="44" t="s">
        <v>660</v>
      </c>
      <c r="G155" s="44" t="s">
        <v>553</v>
      </c>
      <c r="H155" s="44"/>
      <c r="I155" s="43" t="s">
        <v>2</v>
      </c>
    </row>
    <row r="156" spans="1:9" s="33" customFormat="1" ht="110.1" customHeight="1">
      <c r="A156" s="44" t="s">
        <v>549</v>
      </c>
      <c r="B156" s="44" t="s">
        <v>154</v>
      </c>
      <c r="C156" s="44" t="s">
        <v>155</v>
      </c>
      <c r="D156" s="44"/>
      <c r="E156" s="44" t="s">
        <v>156</v>
      </c>
      <c r="F156" s="44" t="s">
        <v>750</v>
      </c>
      <c r="G156" s="44" t="s">
        <v>554</v>
      </c>
      <c r="H156" s="44"/>
      <c r="I156" s="43" t="s">
        <v>4</v>
      </c>
    </row>
    <row r="157" spans="1:9" s="35" customFormat="1" ht="110.1" customHeight="1">
      <c r="A157" s="44" t="s">
        <v>550</v>
      </c>
      <c r="B157" s="44" t="s">
        <v>158</v>
      </c>
      <c r="C157" s="44" t="s">
        <v>159</v>
      </c>
      <c r="D157" s="44"/>
      <c r="E157" s="44" t="s">
        <v>160</v>
      </c>
      <c r="F157" s="44" t="s">
        <v>750</v>
      </c>
      <c r="G157" s="44" t="s">
        <v>555</v>
      </c>
      <c r="H157" s="44"/>
      <c r="I157" s="43" t="s">
        <v>4</v>
      </c>
    </row>
    <row r="158" spans="1:9" ht="24.95" customHeight="1">
      <c r="A158" s="45" t="s">
        <v>162</v>
      </c>
      <c r="B158" s="45" t="s">
        <v>566</v>
      </c>
      <c r="C158" s="45"/>
      <c r="D158" s="45"/>
      <c r="E158" s="45"/>
      <c r="F158" s="45"/>
      <c r="G158" s="45"/>
      <c r="H158" s="45"/>
      <c r="I158" s="45"/>
    </row>
    <row r="159" spans="1:9" ht="110.1" customHeight="1">
      <c r="A159" s="44" t="s">
        <v>556</v>
      </c>
      <c r="B159" s="44" t="s">
        <v>164</v>
      </c>
      <c r="C159" s="44" t="s">
        <v>751</v>
      </c>
      <c r="D159" s="44"/>
      <c r="E159" s="44" t="s">
        <v>752</v>
      </c>
      <c r="F159" s="44" t="s">
        <v>660</v>
      </c>
      <c r="G159" s="44" t="s">
        <v>166</v>
      </c>
      <c r="H159" s="44"/>
      <c r="I159" s="43" t="s">
        <v>2</v>
      </c>
    </row>
    <row r="160" spans="1:9" ht="110.1" customHeight="1">
      <c r="A160" s="44" t="s">
        <v>557</v>
      </c>
      <c r="B160" s="44" t="s">
        <v>167</v>
      </c>
      <c r="C160" s="44" t="s">
        <v>168</v>
      </c>
      <c r="D160" s="44"/>
      <c r="E160" s="44" t="s">
        <v>169</v>
      </c>
      <c r="F160" s="44" t="s">
        <v>660</v>
      </c>
      <c r="G160" s="44" t="s">
        <v>170</v>
      </c>
      <c r="H160" s="44"/>
      <c r="I160" s="43" t="s">
        <v>2</v>
      </c>
    </row>
    <row r="161" spans="1:9" ht="110.1" customHeight="1">
      <c r="A161" s="44" t="s">
        <v>558</v>
      </c>
      <c r="B161" s="44" t="s">
        <v>171</v>
      </c>
      <c r="C161" s="44" t="s">
        <v>753</v>
      </c>
      <c r="D161" s="44"/>
      <c r="E161" s="44" t="s">
        <v>172</v>
      </c>
      <c r="F161" s="44" t="s">
        <v>754</v>
      </c>
      <c r="G161" s="44" t="s">
        <v>173</v>
      </c>
      <c r="H161" s="44"/>
      <c r="I161" s="43" t="s">
        <v>4</v>
      </c>
    </row>
    <row r="162" spans="1:9" s="29" customFormat="1" ht="110.1" customHeight="1">
      <c r="A162" s="44" t="s">
        <v>561</v>
      </c>
      <c r="B162" s="44" t="s">
        <v>564</v>
      </c>
      <c r="C162" s="44" t="s">
        <v>165</v>
      </c>
      <c r="D162" s="44"/>
      <c r="E162" s="44" t="s">
        <v>562</v>
      </c>
      <c r="F162" s="44" t="s">
        <v>660</v>
      </c>
      <c r="G162" s="44" t="s">
        <v>178</v>
      </c>
      <c r="H162" s="44"/>
      <c r="I162" s="43" t="s">
        <v>2</v>
      </c>
    </row>
    <row r="163" spans="1:9" s="35" customFormat="1" ht="110.1" customHeight="1">
      <c r="A163" s="44" t="s">
        <v>559</v>
      </c>
      <c r="B163" s="44" t="s">
        <v>175</v>
      </c>
      <c r="C163" s="44" t="s">
        <v>176</v>
      </c>
      <c r="D163" s="44"/>
      <c r="E163" s="44" t="s">
        <v>177</v>
      </c>
      <c r="F163" s="44" t="s">
        <v>660</v>
      </c>
      <c r="G163" s="44" t="s">
        <v>182</v>
      </c>
      <c r="H163" s="44"/>
      <c r="I163" s="43" t="s">
        <v>2</v>
      </c>
    </row>
    <row r="164" spans="1:9" s="29" customFormat="1" ht="110.1" customHeight="1">
      <c r="A164" s="44" t="s">
        <v>560</v>
      </c>
      <c r="B164" s="44" t="s">
        <v>563</v>
      </c>
      <c r="C164" s="44" t="s">
        <v>565</v>
      </c>
      <c r="D164" s="44"/>
      <c r="E164" s="44" t="s">
        <v>568</v>
      </c>
      <c r="F164" s="44" t="s">
        <v>660</v>
      </c>
      <c r="G164" s="44" t="s">
        <v>184</v>
      </c>
      <c r="H164" s="44"/>
      <c r="I164" s="43" t="s">
        <v>2</v>
      </c>
    </row>
    <row r="165" spans="1:9" s="35" customFormat="1" ht="110.1" customHeight="1">
      <c r="A165" s="44" t="s">
        <v>567</v>
      </c>
      <c r="B165" s="44" t="s">
        <v>179</v>
      </c>
      <c r="C165" s="44" t="s">
        <v>180</v>
      </c>
      <c r="D165" s="44"/>
      <c r="E165" s="44" t="s">
        <v>181</v>
      </c>
      <c r="F165" s="44" t="s">
        <v>660</v>
      </c>
      <c r="G165" s="44" t="s">
        <v>569</v>
      </c>
      <c r="H165" s="44"/>
      <c r="I165" s="43" t="s">
        <v>2</v>
      </c>
    </row>
    <row r="166" spans="1:9" ht="110.1" customHeight="1">
      <c r="I166" s="46"/>
    </row>
    <row r="167" spans="1:9" ht="110.1" customHeight="1">
      <c r="I167" s="46"/>
    </row>
    <row r="168" spans="1:9" ht="110.1" customHeight="1">
      <c r="I168" s="46"/>
    </row>
    <row r="169" spans="1:9" ht="110.1" customHeight="1">
      <c r="I169" s="46"/>
    </row>
    <row r="170" spans="1:9" ht="110.1" customHeight="1">
      <c r="I170" s="46"/>
    </row>
    <row r="171" spans="1:9" ht="110.1" customHeight="1">
      <c r="I171" s="46"/>
    </row>
    <row r="172" spans="1:9" ht="110.1" customHeight="1">
      <c r="I172" s="46"/>
    </row>
    <row r="173" spans="1:9" ht="110.1" customHeight="1">
      <c r="I173" s="46"/>
    </row>
    <row r="174" spans="1:9" ht="110.1" customHeight="1">
      <c r="I174" s="46"/>
    </row>
    <row r="175" spans="1:9" ht="110.1" customHeight="1">
      <c r="I175" s="46"/>
    </row>
    <row r="176" spans="1:9" ht="110.1" customHeight="1">
      <c r="I176" s="46"/>
    </row>
    <row r="177" spans="9:9" ht="110.1" customHeight="1">
      <c r="I177" s="46"/>
    </row>
    <row r="178" spans="9:9" ht="150" customHeight="1">
      <c r="I178" s="46"/>
    </row>
    <row r="179" spans="9:9" ht="150" customHeight="1">
      <c r="I179" s="46"/>
    </row>
    <row r="180" spans="9:9" ht="150" customHeight="1">
      <c r="I180" s="46"/>
    </row>
    <row r="181" spans="9:9" ht="150" customHeight="1">
      <c r="I181" s="21"/>
    </row>
    <row r="182" spans="9:9" ht="150" customHeight="1">
      <c r="I182" s="21"/>
    </row>
    <row r="183" spans="9:9" ht="150" customHeight="1">
      <c r="I183" s="21"/>
    </row>
    <row r="184" spans="9:9" ht="150" customHeight="1">
      <c r="I184" s="21"/>
    </row>
    <row r="185" spans="9:9" ht="150" customHeight="1">
      <c r="I185" s="21"/>
    </row>
    <row r="186" spans="9:9" ht="150" customHeight="1">
      <c r="I186" s="21"/>
    </row>
    <row r="187" spans="9:9" ht="150" customHeight="1">
      <c r="I187" s="21"/>
    </row>
    <row r="188" spans="9:9" ht="150" customHeight="1">
      <c r="I188" s="21"/>
    </row>
    <row r="189" spans="9:9" ht="150" customHeight="1">
      <c r="I189" s="21"/>
    </row>
    <row r="190" spans="9:9" ht="150" customHeight="1">
      <c r="I190" s="21"/>
    </row>
    <row r="191" spans="9:9" ht="150" customHeight="1">
      <c r="I191" s="21"/>
    </row>
    <row r="192" spans="9:9" ht="150" customHeight="1">
      <c r="I192" s="21"/>
    </row>
    <row r="193" spans="9:9" ht="150" customHeight="1">
      <c r="I193" s="21"/>
    </row>
    <row r="194" spans="9:9" ht="150" customHeight="1">
      <c r="I194" s="21"/>
    </row>
    <row r="195" spans="9:9" ht="150" customHeight="1">
      <c r="I195" s="21"/>
    </row>
    <row r="196" spans="9:9" ht="150" customHeight="1">
      <c r="I196" s="21"/>
    </row>
    <row r="197" spans="9:9" ht="150" customHeight="1">
      <c r="I197" s="21"/>
    </row>
    <row r="198" spans="9:9" ht="150" customHeight="1">
      <c r="I198" s="21"/>
    </row>
    <row r="199" spans="9:9" ht="150" customHeight="1">
      <c r="I199" s="21"/>
    </row>
    <row r="200" spans="9:9" ht="150" customHeight="1">
      <c r="I200" s="21"/>
    </row>
    <row r="201" spans="9:9" ht="150" customHeight="1">
      <c r="I201" s="21"/>
    </row>
    <row r="202" spans="9:9" ht="150" customHeight="1">
      <c r="I202" s="21"/>
    </row>
    <row r="203" spans="9:9" ht="150" customHeight="1">
      <c r="I203" s="21"/>
    </row>
    <row r="204" spans="9:9" ht="150" customHeight="1">
      <c r="I204" s="21"/>
    </row>
    <row r="205" spans="9:9" ht="150" customHeight="1">
      <c r="I205" s="21"/>
    </row>
    <row r="206" spans="9:9" ht="150" customHeight="1">
      <c r="I206" s="21"/>
    </row>
    <row r="207" spans="9:9" ht="150" customHeight="1">
      <c r="I207" s="21"/>
    </row>
    <row r="208" spans="9:9" ht="150" customHeight="1">
      <c r="I208" s="21"/>
    </row>
    <row r="209" spans="9:9" ht="150" customHeight="1">
      <c r="I209" s="21"/>
    </row>
    <row r="210" spans="9:9" ht="150" customHeight="1">
      <c r="I210" s="21"/>
    </row>
    <row r="211" spans="9:9" ht="150" customHeight="1">
      <c r="I211" s="21"/>
    </row>
    <row r="212" spans="9:9" ht="150" customHeight="1">
      <c r="I212" s="21"/>
    </row>
    <row r="213" spans="9:9" ht="150" customHeight="1">
      <c r="I213" s="21"/>
    </row>
    <row r="214" spans="9:9" ht="150" customHeight="1">
      <c r="I214" s="21"/>
    </row>
    <row r="215" spans="9:9" ht="150" customHeight="1">
      <c r="I215" s="21"/>
    </row>
    <row r="216" spans="9:9" ht="150" customHeight="1">
      <c r="I216" s="21"/>
    </row>
    <row r="217" spans="9:9" ht="150" customHeight="1">
      <c r="I217" s="21"/>
    </row>
    <row r="218" spans="9:9" ht="150" customHeight="1">
      <c r="I218" s="21"/>
    </row>
    <row r="219" spans="9:9" ht="150" customHeight="1">
      <c r="I219" s="21"/>
    </row>
    <row r="220" spans="9:9" ht="150" customHeight="1">
      <c r="I220" s="21"/>
    </row>
    <row r="221" spans="9:9" ht="150" customHeight="1">
      <c r="I221" s="21"/>
    </row>
    <row r="222" spans="9:9" ht="150" customHeight="1">
      <c r="I222" s="21"/>
    </row>
    <row r="223" spans="9:9" ht="150" customHeight="1">
      <c r="I223" s="21"/>
    </row>
    <row r="224" spans="9:9" ht="150" customHeight="1">
      <c r="I224" s="21"/>
    </row>
    <row r="225" spans="9:9" ht="150" customHeight="1">
      <c r="I225" s="21"/>
    </row>
    <row r="226" spans="9:9" ht="150" customHeight="1">
      <c r="I226" s="21"/>
    </row>
    <row r="227" spans="9:9" ht="150" customHeight="1">
      <c r="I227" s="21"/>
    </row>
    <row r="228" spans="9:9" ht="150" customHeight="1">
      <c r="I228" s="21"/>
    </row>
    <row r="229" spans="9:9" ht="150" customHeight="1">
      <c r="I229" s="21"/>
    </row>
    <row r="230" spans="9:9" ht="150" customHeight="1">
      <c r="I230" s="21"/>
    </row>
    <row r="231" spans="9:9" ht="150" customHeight="1">
      <c r="I231" s="21"/>
    </row>
    <row r="232" spans="9:9" ht="150" customHeight="1">
      <c r="I232" s="21"/>
    </row>
    <row r="233" spans="9:9" ht="150" customHeight="1">
      <c r="I233" s="21"/>
    </row>
    <row r="234" spans="9:9" ht="150" customHeight="1">
      <c r="I234" s="21"/>
    </row>
    <row r="235" spans="9:9" ht="150" customHeight="1">
      <c r="I235" s="21"/>
    </row>
    <row r="236" spans="9:9" ht="150" customHeight="1">
      <c r="I236" s="21"/>
    </row>
    <row r="237" spans="9:9" ht="150" customHeight="1">
      <c r="I237" s="21"/>
    </row>
    <row r="238" spans="9:9" ht="150" customHeight="1">
      <c r="I238" s="21"/>
    </row>
    <row r="239" spans="9:9" ht="150" customHeight="1">
      <c r="I239" s="21"/>
    </row>
    <row r="240" spans="9:9" ht="150" customHeight="1">
      <c r="I240" s="21"/>
    </row>
    <row r="241" spans="9:9" ht="150" customHeight="1">
      <c r="I241" s="21"/>
    </row>
    <row r="242" spans="9:9" ht="150" customHeight="1">
      <c r="I242" s="21"/>
    </row>
    <row r="243" spans="9:9" ht="150" customHeight="1">
      <c r="I243" s="21"/>
    </row>
    <row r="244" spans="9:9" ht="150" customHeight="1">
      <c r="I244" s="21"/>
    </row>
    <row r="245" spans="9:9" ht="150" customHeight="1">
      <c r="I245" s="21"/>
    </row>
    <row r="246" spans="9:9" ht="150" customHeight="1">
      <c r="I246" s="21"/>
    </row>
    <row r="247" spans="9:9" ht="150" customHeight="1">
      <c r="I247" s="21"/>
    </row>
    <row r="248" spans="9:9" ht="150" customHeight="1">
      <c r="I248" s="21"/>
    </row>
    <row r="249" spans="9:9" ht="150" customHeight="1">
      <c r="I249" s="21"/>
    </row>
    <row r="250" spans="9:9" ht="150" customHeight="1">
      <c r="I250" s="21"/>
    </row>
    <row r="251" spans="9:9" ht="150" customHeight="1">
      <c r="I251" s="21"/>
    </row>
    <row r="252" spans="9:9" ht="150" customHeight="1">
      <c r="I252" s="21"/>
    </row>
    <row r="253" spans="9:9" ht="150" customHeight="1">
      <c r="I253" s="21"/>
    </row>
    <row r="254" spans="9:9" ht="150" customHeight="1">
      <c r="I254" s="21"/>
    </row>
    <row r="255" spans="9:9" ht="150" customHeight="1">
      <c r="I255" s="21"/>
    </row>
    <row r="256" spans="9:9" ht="150" customHeight="1">
      <c r="I256" s="21"/>
    </row>
    <row r="257" spans="9:9" ht="150" customHeight="1">
      <c r="I257" s="21"/>
    </row>
    <row r="258" spans="9:9" ht="150" customHeight="1">
      <c r="I258" s="21"/>
    </row>
    <row r="259" spans="9:9" ht="150" customHeight="1">
      <c r="I259" s="21"/>
    </row>
    <row r="260" spans="9:9" ht="150" customHeight="1">
      <c r="I260" s="21"/>
    </row>
    <row r="261" spans="9:9" ht="150" customHeight="1">
      <c r="I261" s="21"/>
    </row>
    <row r="262" spans="9:9" ht="150" customHeight="1">
      <c r="I262" s="21"/>
    </row>
    <row r="263" spans="9:9" ht="150" customHeight="1">
      <c r="I263" s="21"/>
    </row>
    <row r="264" spans="9:9" ht="150" customHeight="1">
      <c r="I264" s="21"/>
    </row>
    <row r="265" spans="9:9" ht="150" customHeight="1">
      <c r="I265" s="21"/>
    </row>
    <row r="266" spans="9:9" ht="150" customHeight="1">
      <c r="I266" s="21"/>
    </row>
    <row r="267" spans="9:9" ht="150" customHeight="1">
      <c r="I267" s="21"/>
    </row>
    <row r="268" spans="9:9" ht="150" customHeight="1">
      <c r="I268" s="21"/>
    </row>
    <row r="269" spans="9:9" ht="150" customHeight="1">
      <c r="I269" s="21"/>
    </row>
    <row r="270" spans="9:9" ht="150" customHeight="1">
      <c r="I270" s="21"/>
    </row>
    <row r="271" spans="9:9" ht="150" customHeight="1">
      <c r="I271" s="21"/>
    </row>
    <row r="272" spans="9:9" ht="150" customHeight="1">
      <c r="I272" s="21"/>
    </row>
    <row r="273" spans="9:9" ht="150" customHeight="1">
      <c r="I273" s="21"/>
    </row>
    <row r="274" spans="9:9" ht="150" customHeight="1">
      <c r="I274" s="21"/>
    </row>
    <row r="275" spans="9:9" ht="150" customHeight="1">
      <c r="I275" s="21"/>
    </row>
    <row r="276" spans="9:9" ht="150" customHeight="1">
      <c r="I276" s="21"/>
    </row>
    <row r="277" spans="9:9" ht="150" customHeight="1">
      <c r="I277" s="21"/>
    </row>
    <row r="278" spans="9:9" ht="150" customHeight="1">
      <c r="I278" s="21"/>
    </row>
    <row r="279" spans="9:9" ht="150" customHeight="1">
      <c r="I279" s="21"/>
    </row>
    <row r="280" spans="9:9" ht="150" customHeight="1">
      <c r="I280" s="21"/>
    </row>
    <row r="281" spans="9:9" ht="150" customHeight="1">
      <c r="I281" s="21"/>
    </row>
    <row r="282" spans="9:9" ht="150" customHeight="1">
      <c r="I282" s="21"/>
    </row>
    <row r="283" spans="9:9" ht="150" customHeight="1">
      <c r="I283" s="21"/>
    </row>
    <row r="284" spans="9:9" ht="150" customHeight="1">
      <c r="I284" s="21"/>
    </row>
    <row r="285" spans="9:9" ht="150" customHeight="1">
      <c r="I285" s="21"/>
    </row>
    <row r="286" spans="9:9" ht="150" customHeight="1">
      <c r="I286" s="21"/>
    </row>
    <row r="287" spans="9:9" ht="150" customHeight="1">
      <c r="I287" s="21"/>
    </row>
    <row r="288" spans="9:9" ht="150" customHeight="1">
      <c r="I288" s="21"/>
    </row>
    <row r="289" spans="9:9" ht="150" customHeight="1">
      <c r="I289" s="21"/>
    </row>
    <row r="290" spans="9:9" ht="150" customHeight="1">
      <c r="I290" s="21"/>
    </row>
    <row r="291" spans="9:9" ht="150" customHeight="1">
      <c r="I291" s="21"/>
    </row>
    <row r="292" spans="9:9" ht="150" customHeight="1">
      <c r="I292" s="21"/>
    </row>
    <row r="293" spans="9:9" ht="150" customHeight="1">
      <c r="I293" s="21"/>
    </row>
    <row r="294" spans="9:9" ht="150" customHeight="1">
      <c r="I294" s="21"/>
    </row>
    <row r="295" spans="9:9" ht="150" customHeight="1">
      <c r="I295" s="21"/>
    </row>
    <row r="296" spans="9:9" ht="150" customHeight="1">
      <c r="I296" s="21"/>
    </row>
    <row r="297" spans="9:9" ht="150" customHeight="1">
      <c r="I297" s="21"/>
    </row>
    <row r="298" spans="9:9" ht="150" customHeight="1">
      <c r="I298" s="21"/>
    </row>
    <row r="299" spans="9:9" ht="150" customHeight="1">
      <c r="I299" s="21"/>
    </row>
    <row r="300" spans="9:9" ht="150" customHeight="1">
      <c r="I300" s="21"/>
    </row>
    <row r="301" spans="9:9" ht="150" customHeight="1">
      <c r="I301" s="21"/>
    </row>
    <row r="302" spans="9:9" ht="150" customHeight="1">
      <c r="I302" s="21"/>
    </row>
    <row r="303" spans="9:9" ht="150" customHeight="1">
      <c r="I303" s="21"/>
    </row>
    <row r="304" spans="9:9" ht="150" customHeight="1">
      <c r="I304" s="21"/>
    </row>
    <row r="305" spans="9:9" ht="150" customHeight="1">
      <c r="I305" s="21"/>
    </row>
    <row r="306" spans="9:9" ht="150" customHeight="1">
      <c r="I306" s="21"/>
    </row>
    <row r="307" spans="9:9" ht="150" customHeight="1">
      <c r="I307" s="21"/>
    </row>
    <row r="308" spans="9:9" ht="150" customHeight="1">
      <c r="I308" s="21"/>
    </row>
    <row r="309" spans="9:9" ht="150" customHeight="1">
      <c r="I309" s="21"/>
    </row>
    <row r="310" spans="9:9" ht="150" customHeight="1">
      <c r="I310" s="22"/>
    </row>
    <row r="311" spans="9:9" ht="150" customHeight="1">
      <c r="I311" s="22"/>
    </row>
    <row r="312" spans="9:9" ht="150" customHeight="1">
      <c r="I312" s="22"/>
    </row>
    <row r="313" spans="9:9" ht="150" customHeight="1">
      <c r="I313" s="22"/>
    </row>
    <row r="314" spans="9:9" ht="150" customHeight="1">
      <c r="I314" s="22"/>
    </row>
    <row r="315" spans="9:9" ht="150" customHeight="1">
      <c r="I315" s="22"/>
    </row>
    <row r="316" spans="9:9" ht="150" customHeight="1">
      <c r="I316" s="22"/>
    </row>
    <row r="317" spans="9:9" ht="150" customHeight="1">
      <c r="I317" s="22"/>
    </row>
    <row r="318" spans="9:9" ht="150" customHeight="1">
      <c r="I318" s="22"/>
    </row>
    <row r="319" spans="9:9" ht="150" customHeight="1">
      <c r="I319" s="22"/>
    </row>
    <row r="320" spans="9:9" ht="150" customHeight="1">
      <c r="I320" s="22"/>
    </row>
    <row r="321" spans="9:9" ht="150" customHeight="1">
      <c r="I321" s="22"/>
    </row>
    <row r="322" spans="9:9" ht="150" customHeight="1">
      <c r="I322" s="22"/>
    </row>
    <row r="323" spans="9:9" ht="150" customHeight="1">
      <c r="I323" s="22"/>
    </row>
    <row r="324" spans="9:9" ht="150" customHeight="1">
      <c r="I324" s="22"/>
    </row>
    <row r="325" spans="9:9" ht="150" customHeight="1">
      <c r="I325" s="22"/>
    </row>
    <row r="326" spans="9:9" ht="150" customHeight="1">
      <c r="I326" s="22"/>
    </row>
    <row r="327" spans="9:9" ht="150" customHeight="1">
      <c r="I327" s="22"/>
    </row>
    <row r="328" spans="9:9" ht="150" customHeight="1">
      <c r="I328" s="22"/>
    </row>
    <row r="329" spans="9:9" ht="150" customHeight="1">
      <c r="I329" s="22"/>
    </row>
    <row r="330" spans="9:9" ht="150" customHeight="1">
      <c r="I330" s="22"/>
    </row>
    <row r="331" spans="9:9" ht="150" customHeight="1">
      <c r="I331" s="22"/>
    </row>
    <row r="332" spans="9:9" ht="150" customHeight="1">
      <c r="I332" s="22"/>
    </row>
    <row r="333" spans="9:9" ht="150" customHeight="1">
      <c r="I333" s="22"/>
    </row>
    <row r="334" spans="9:9" ht="150" customHeight="1">
      <c r="I334" s="22"/>
    </row>
    <row r="335" spans="9:9" ht="150" customHeight="1">
      <c r="I335" s="22"/>
    </row>
    <row r="336" spans="9:9" ht="150" customHeight="1">
      <c r="I336" s="22"/>
    </row>
    <row r="337" spans="9:9" ht="150" customHeight="1">
      <c r="I337" s="22"/>
    </row>
    <row r="338" spans="9:9" ht="150" customHeight="1">
      <c r="I338" s="22"/>
    </row>
    <row r="339" spans="9:9" ht="150" customHeight="1">
      <c r="I339" s="22"/>
    </row>
    <row r="340" spans="9:9" ht="150" customHeight="1">
      <c r="I340" s="22"/>
    </row>
    <row r="341" spans="9:9" ht="150" customHeight="1">
      <c r="I341" s="22"/>
    </row>
    <row r="342" spans="9:9" ht="150" customHeight="1">
      <c r="I342" s="22"/>
    </row>
    <row r="343" spans="9:9" ht="150" customHeight="1">
      <c r="I343" s="22"/>
    </row>
    <row r="344" spans="9:9" ht="150" customHeight="1">
      <c r="I344" s="22"/>
    </row>
    <row r="345" spans="9:9" ht="150" customHeight="1">
      <c r="I345" s="22"/>
    </row>
    <row r="346" spans="9:9" ht="150" customHeight="1">
      <c r="I346" s="22"/>
    </row>
    <row r="347" spans="9:9" ht="150" customHeight="1">
      <c r="I347" s="22"/>
    </row>
    <row r="348" spans="9:9" ht="150" customHeight="1">
      <c r="I348" s="22"/>
    </row>
    <row r="349" spans="9:9" ht="150" customHeight="1">
      <c r="I349" s="22"/>
    </row>
    <row r="350" spans="9:9" ht="150" customHeight="1">
      <c r="I350" s="22"/>
    </row>
    <row r="351" spans="9:9" ht="150" customHeight="1">
      <c r="I351" s="22"/>
    </row>
    <row r="352" spans="9:9" ht="150" customHeight="1">
      <c r="I352" s="22"/>
    </row>
    <row r="353" spans="9:9" ht="150" customHeight="1">
      <c r="I353" s="22"/>
    </row>
    <row r="354" spans="9:9" ht="150" customHeight="1">
      <c r="I354" s="22"/>
    </row>
    <row r="355" spans="9:9" ht="150" customHeight="1">
      <c r="I355" s="22"/>
    </row>
    <row r="356" spans="9:9" ht="150" customHeight="1">
      <c r="I356" s="22"/>
    </row>
    <row r="357" spans="9:9" ht="150" customHeight="1">
      <c r="I357" s="22"/>
    </row>
    <row r="358" spans="9:9" ht="150" customHeight="1">
      <c r="I358" s="22"/>
    </row>
    <row r="359" spans="9:9" ht="150" customHeight="1">
      <c r="I359" s="22"/>
    </row>
    <row r="360" spans="9:9" ht="150" customHeight="1">
      <c r="I360" s="22"/>
    </row>
    <row r="361" spans="9:9" ht="150" customHeight="1">
      <c r="I361" s="22"/>
    </row>
    <row r="362" spans="9:9" ht="150" customHeight="1">
      <c r="I362" s="22"/>
    </row>
    <row r="363" spans="9:9" ht="150" customHeight="1">
      <c r="I363" s="22"/>
    </row>
    <row r="364" spans="9:9" ht="150" customHeight="1">
      <c r="I364" s="22"/>
    </row>
    <row r="365" spans="9:9" ht="150" customHeight="1">
      <c r="I365" s="22"/>
    </row>
    <row r="366" spans="9:9" ht="150" customHeight="1">
      <c r="I366" s="22"/>
    </row>
    <row r="367" spans="9:9" ht="150" customHeight="1">
      <c r="I367" s="22"/>
    </row>
    <row r="368" spans="9:9" ht="150" customHeight="1">
      <c r="I368" s="22"/>
    </row>
    <row r="369" spans="9:9" ht="150" customHeight="1">
      <c r="I369" s="22"/>
    </row>
    <row r="370" spans="9:9" ht="150" customHeight="1">
      <c r="I370" s="22"/>
    </row>
    <row r="371" spans="9:9" ht="150" customHeight="1">
      <c r="I371" s="22"/>
    </row>
    <row r="372" spans="9:9" ht="150" customHeight="1">
      <c r="I372" s="22"/>
    </row>
    <row r="373" spans="9:9" ht="150" customHeight="1">
      <c r="I373" s="22"/>
    </row>
    <row r="374" spans="9:9" ht="150" customHeight="1">
      <c r="I374" s="22"/>
    </row>
    <row r="375" spans="9:9" ht="150" customHeight="1">
      <c r="I375" s="22"/>
    </row>
    <row r="376" spans="9:9" ht="150" customHeight="1">
      <c r="I376" s="22"/>
    </row>
    <row r="377" spans="9:9" ht="150" customHeight="1">
      <c r="I377" s="22"/>
    </row>
    <row r="378" spans="9:9" ht="150" customHeight="1">
      <c r="I378" s="22"/>
    </row>
    <row r="379" spans="9:9" ht="150" customHeight="1">
      <c r="I379" s="22"/>
    </row>
    <row r="380" spans="9:9" ht="150" customHeight="1">
      <c r="I380" s="22"/>
    </row>
    <row r="381" spans="9:9" ht="150" customHeight="1">
      <c r="I381" s="22"/>
    </row>
    <row r="382" spans="9:9" ht="150" customHeight="1">
      <c r="I382" s="22"/>
    </row>
    <row r="383" spans="9:9" ht="150" customHeight="1">
      <c r="I383" s="22"/>
    </row>
    <row r="384" spans="9:9" ht="150" customHeight="1">
      <c r="I384" s="22"/>
    </row>
    <row r="385" spans="9:9" ht="150" customHeight="1">
      <c r="I385" s="22"/>
    </row>
    <row r="386" spans="9:9" ht="150" customHeight="1">
      <c r="I386" s="22"/>
    </row>
    <row r="387" spans="9:9" ht="150" customHeight="1">
      <c r="I387" s="22"/>
    </row>
    <row r="388" spans="9:9" ht="150" customHeight="1">
      <c r="I388" s="22"/>
    </row>
    <row r="389" spans="9:9" ht="150" customHeight="1">
      <c r="I389" s="22"/>
    </row>
    <row r="390" spans="9:9" ht="150" customHeight="1">
      <c r="I390" s="22"/>
    </row>
    <row r="391" spans="9:9" ht="150" customHeight="1">
      <c r="I391" s="22"/>
    </row>
    <row r="392" spans="9:9" ht="150" customHeight="1">
      <c r="I392" s="22"/>
    </row>
    <row r="393" spans="9:9" ht="150" customHeight="1">
      <c r="I393" s="22"/>
    </row>
    <row r="394" spans="9:9" ht="150" customHeight="1">
      <c r="I394" s="22"/>
    </row>
    <row r="395" spans="9:9" ht="150" customHeight="1">
      <c r="I395" s="22"/>
    </row>
    <row r="396" spans="9:9" ht="150" customHeight="1">
      <c r="I396" s="22"/>
    </row>
    <row r="397" spans="9:9" ht="150" customHeight="1">
      <c r="I397" s="22"/>
    </row>
    <row r="398" spans="9:9" ht="150" customHeight="1">
      <c r="I398" s="22"/>
    </row>
    <row r="399" spans="9:9" ht="150" customHeight="1">
      <c r="I399" s="22"/>
    </row>
    <row r="400" spans="9:9" ht="150" customHeight="1">
      <c r="I400" s="22"/>
    </row>
    <row r="401" spans="9:9" ht="150" customHeight="1">
      <c r="I401" s="22"/>
    </row>
    <row r="402" spans="9:9" ht="150" customHeight="1">
      <c r="I402" s="22"/>
    </row>
    <row r="403" spans="9:9" ht="150" customHeight="1">
      <c r="I403" s="22"/>
    </row>
    <row r="404" spans="9:9" ht="150" customHeight="1">
      <c r="I404" s="22"/>
    </row>
    <row r="405" spans="9:9" ht="150" customHeight="1">
      <c r="I405" s="22"/>
    </row>
    <row r="406" spans="9:9" ht="150" customHeight="1">
      <c r="I406" s="22"/>
    </row>
    <row r="407" spans="9:9" ht="150" customHeight="1">
      <c r="I407" s="22"/>
    </row>
    <row r="408" spans="9:9" ht="150" customHeight="1">
      <c r="I408" s="22"/>
    </row>
    <row r="409" spans="9:9" ht="150" customHeight="1">
      <c r="I409" s="22"/>
    </row>
    <row r="410" spans="9:9" ht="150" customHeight="1">
      <c r="I410" s="22"/>
    </row>
    <row r="411" spans="9:9" ht="150" customHeight="1">
      <c r="I411" s="22"/>
    </row>
    <row r="412" spans="9:9" ht="150" customHeight="1">
      <c r="I412" s="22"/>
    </row>
    <row r="413" spans="9:9" ht="150" customHeight="1">
      <c r="I413" s="22"/>
    </row>
    <row r="414" spans="9:9" ht="150" customHeight="1">
      <c r="I414" s="22"/>
    </row>
    <row r="415" spans="9:9" ht="150" customHeight="1">
      <c r="I415" s="22"/>
    </row>
    <row r="416" spans="9:9" ht="150" customHeight="1">
      <c r="I416" s="22"/>
    </row>
    <row r="417" spans="9:9" ht="150" customHeight="1">
      <c r="I417" s="22"/>
    </row>
    <row r="418" spans="9:9" ht="150" customHeight="1">
      <c r="I418" s="22"/>
    </row>
    <row r="419" spans="9:9" ht="150" customHeight="1">
      <c r="I419" s="22"/>
    </row>
    <row r="420" spans="9:9" ht="150" customHeight="1">
      <c r="I420" s="22"/>
    </row>
    <row r="421" spans="9:9" ht="150" customHeight="1">
      <c r="I421" s="22"/>
    </row>
    <row r="422" spans="9:9" ht="150" customHeight="1">
      <c r="I422" s="22"/>
    </row>
    <row r="423" spans="9:9" ht="150" customHeight="1">
      <c r="I423" s="22"/>
    </row>
    <row r="424" spans="9:9" ht="150" customHeight="1">
      <c r="I424" s="22"/>
    </row>
    <row r="425" spans="9:9" ht="150" customHeight="1">
      <c r="I425" s="22"/>
    </row>
    <row r="426" spans="9:9" ht="150" customHeight="1">
      <c r="I426" s="22"/>
    </row>
    <row r="427" spans="9:9" ht="150" customHeight="1">
      <c r="I427" s="22"/>
    </row>
    <row r="428" spans="9:9" ht="150" customHeight="1">
      <c r="I428" s="22"/>
    </row>
    <row r="429" spans="9:9" ht="150" customHeight="1">
      <c r="I429" s="22"/>
    </row>
    <row r="430" spans="9:9" ht="150" customHeight="1">
      <c r="I430" s="22"/>
    </row>
    <row r="431" spans="9:9" ht="150" customHeight="1">
      <c r="I431" s="22"/>
    </row>
    <row r="432" spans="9:9" ht="150" customHeight="1">
      <c r="I432" s="22"/>
    </row>
    <row r="433" spans="9:9" ht="150" customHeight="1">
      <c r="I433" s="22"/>
    </row>
    <row r="434" spans="9:9" ht="150" customHeight="1">
      <c r="I434" s="22"/>
    </row>
    <row r="435" spans="9:9" ht="150" customHeight="1">
      <c r="I435" s="22"/>
    </row>
    <row r="436" spans="9:9" ht="150" customHeight="1">
      <c r="I436" s="22"/>
    </row>
    <row r="437" spans="9:9" ht="150" customHeight="1">
      <c r="I437" s="22"/>
    </row>
    <row r="438" spans="9:9" ht="150" customHeight="1">
      <c r="I438" s="22"/>
    </row>
    <row r="439" spans="9:9" ht="150" customHeight="1">
      <c r="I439" s="22"/>
    </row>
    <row r="440" spans="9:9" ht="150" customHeight="1">
      <c r="I440" s="22"/>
    </row>
    <row r="441" spans="9:9" ht="150" customHeight="1">
      <c r="I441" s="22"/>
    </row>
    <row r="442" spans="9:9" ht="150" customHeight="1">
      <c r="I442" s="22"/>
    </row>
    <row r="443" spans="9:9" ht="150" customHeight="1">
      <c r="I443" s="22"/>
    </row>
    <row r="444" spans="9:9" ht="150" customHeight="1">
      <c r="I444" s="22"/>
    </row>
    <row r="445" spans="9:9" ht="150" customHeight="1">
      <c r="I445" s="22"/>
    </row>
    <row r="446" spans="9:9" ht="150" customHeight="1">
      <c r="I446" s="22"/>
    </row>
    <row r="447" spans="9:9" ht="150" customHeight="1">
      <c r="I447" s="22"/>
    </row>
    <row r="448" spans="9:9" ht="150" customHeight="1">
      <c r="I448" s="22"/>
    </row>
    <row r="449" spans="9:9" ht="150" customHeight="1">
      <c r="I449" s="22"/>
    </row>
    <row r="450" spans="9:9" ht="150" customHeight="1">
      <c r="I450" s="22"/>
    </row>
    <row r="451" spans="9:9" ht="150" customHeight="1">
      <c r="I451" s="22"/>
    </row>
    <row r="452" spans="9:9" ht="150" customHeight="1">
      <c r="I452" s="22"/>
    </row>
    <row r="453" spans="9:9" ht="150" customHeight="1">
      <c r="I453" s="22"/>
    </row>
    <row r="454" spans="9:9" ht="150" customHeight="1">
      <c r="I454" s="22"/>
    </row>
    <row r="455" spans="9:9" ht="150" customHeight="1">
      <c r="I455" s="22"/>
    </row>
    <row r="456" spans="9:9" ht="150" customHeight="1">
      <c r="I456" s="22"/>
    </row>
    <row r="457" spans="9:9" ht="150" customHeight="1">
      <c r="I457" s="22"/>
    </row>
    <row r="458" spans="9:9" ht="150" customHeight="1">
      <c r="I458" s="22"/>
    </row>
    <row r="459" spans="9:9" ht="150" customHeight="1">
      <c r="I459" s="22"/>
    </row>
    <row r="460" spans="9:9" ht="150" customHeight="1">
      <c r="I460" s="22"/>
    </row>
    <row r="461" spans="9:9" ht="150" customHeight="1">
      <c r="I461" s="22"/>
    </row>
    <row r="462" spans="9:9" ht="150" customHeight="1">
      <c r="I462" s="22"/>
    </row>
    <row r="463" spans="9:9" ht="150" customHeight="1">
      <c r="I463" s="22"/>
    </row>
    <row r="464" spans="9:9" ht="150" customHeight="1">
      <c r="I464" s="22"/>
    </row>
    <row r="465" spans="9:9" ht="150" customHeight="1">
      <c r="I465" s="22"/>
    </row>
    <row r="466" spans="9:9" ht="150" customHeight="1">
      <c r="I466" s="22"/>
    </row>
    <row r="467" spans="9:9" ht="150" customHeight="1">
      <c r="I467" s="22"/>
    </row>
    <row r="468" spans="9:9" ht="150" customHeight="1">
      <c r="I468" s="22"/>
    </row>
    <row r="469" spans="9:9" ht="150" customHeight="1">
      <c r="I469" s="22"/>
    </row>
    <row r="470" spans="9:9" ht="150" customHeight="1">
      <c r="I470" s="22"/>
    </row>
    <row r="471" spans="9:9" ht="150" customHeight="1">
      <c r="I471" s="22"/>
    </row>
    <row r="472" spans="9:9" ht="150" customHeight="1">
      <c r="I472" s="22"/>
    </row>
    <row r="473" spans="9:9" ht="150" customHeight="1">
      <c r="I473" s="22"/>
    </row>
    <row r="474" spans="9:9" ht="150" customHeight="1">
      <c r="I474" s="22"/>
    </row>
    <row r="475" spans="9:9" ht="150" customHeight="1">
      <c r="I475" s="22"/>
    </row>
    <row r="476" spans="9:9" ht="150" customHeight="1">
      <c r="I476" s="22"/>
    </row>
    <row r="477" spans="9:9" ht="150" customHeight="1">
      <c r="I477" s="22"/>
    </row>
    <row r="478" spans="9:9" ht="150" customHeight="1">
      <c r="I478" s="22"/>
    </row>
    <row r="479" spans="9:9" ht="150" customHeight="1">
      <c r="I479" s="22"/>
    </row>
    <row r="480" spans="9:9" ht="150" customHeight="1">
      <c r="I480" s="22"/>
    </row>
    <row r="481" spans="9:9" ht="150" customHeight="1">
      <c r="I481" s="22"/>
    </row>
    <row r="482" spans="9:9" ht="150" customHeight="1">
      <c r="I482" s="22"/>
    </row>
    <row r="483" spans="9:9" ht="150" customHeight="1">
      <c r="I483" s="22"/>
    </row>
    <row r="484" spans="9:9" ht="150" customHeight="1">
      <c r="I484" s="22"/>
    </row>
    <row r="485" spans="9:9" ht="150" customHeight="1">
      <c r="I485" s="22"/>
    </row>
    <row r="486" spans="9:9" ht="150" customHeight="1">
      <c r="I486" s="22"/>
    </row>
    <row r="487" spans="9:9" ht="150" customHeight="1">
      <c r="I487" s="22"/>
    </row>
    <row r="488" spans="9:9" ht="150" customHeight="1">
      <c r="I488" s="22"/>
    </row>
    <row r="489" spans="9:9" ht="150" customHeight="1">
      <c r="I489" s="22"/>
    </row>
    <row r="490" spans="9:9" ht="150" customHeight="1">
      <c r="I490" s="22"/>
    </row>
    <row r="491" spans="9:9" ht="150" customHeight="1">
      <c r="I491" s="22"/>
    </row>
    <row r="492" spans="9:9" ht="150" customHeight="1">
      <c r="I492" s="22"/>
    </row>
    <row r="493" spans="9:9" ht="150" customHeight="1">
      <c r="I493" s="22"/>
    </row>
    <row r="494" spans="9:9" ht="150" customHeight="1">
      <c r="I494" s="22"/>
    </row>
    <row r="495" spans="9:9" ht="150" customHeight="1">
      <c r="I495" s="22"/>
    </row>
    <row r="496" spans="9:9" ht="150" customHeight="1">
      <c r="I496" s="22"/>
    </row>
    <row r="497" spans="9:9" ht="150" customHeight="1">
      <c r="I497" s="22"/>
    </row>
    <row r="498" spans="9:9" ht="150" customHeight="1">
      <c r="I498" s="22"/>
    </row>
    <row r="499" spans="9:9" ht="150" customHeight="1">
      <c r="I499" s="22"/>
    </row>
    <row r="500" spans="9:9" ht="150" customHeight="1">
      <c r="I500" s="22"/>
    </row>
    <row r="501" spans="9:9" ht="150" customHeight="1">
      <c r="I501" s="22"/>
    </row>
    <row r="502" spans="9:9" ht="150" customHeight="1">
      <c r="I502" s="22"/>
    </row>
    <row r="503" spans="9:9" ht="150" customHeight="1">
      <c r="I503" s="22"/>
    </row>
    <row r="504" spans="9:9" ht="150" customHeight="1">
      <c r="I504" s="22"/>
    </row>
    <row r="505" spans="9:9" ht="150" customHeight="1">
      <c r="I505" s="22"/>
    </row>
    <row r="506" spans="9:9" ht="150" customHeight="1">
      <c r="I506" s="22"/>
    </row>
    <row r="507" spans="9:9" ht="150" customHeight="1">
      <c r="I507" s="22"/>
    </row>
    <row r="508" spans="9:9" ht="150" customHeight="1">
      <c r="I508" s="22"/>
    </row>
    <row r="509" spans="9:9" ht="150" customHeight="1">
      <c r="I509" s="22"/>
    </row>
    <row r="510" spans="9:9" ht="150" customHeight="1">
      <c r="I510" s="22"/>
    </row>
    <row r="511" spans="9:9" ht="150" customHeight="1">
      <c r="I511" s="22"/>
    </row>
    <row r="512" spans="9:9" ht="150" customHeight="1">
      <c r="I512" s="22"/>
    </row>
    <row r="513" spans="9:9" ht="150" customHeight="1">
      <c r="I513" s="22"/>
    </row>
    <row r="514" spans="9:9" ht="150" customHeight="1">
      <c r="I514" s="22"/>
    </row>
    <row r="515" spans="9:9" ht="150" customHeight="1">
      <c r="I515" s="22"/>
    </row>
    <row r="516" spans="9:9" ht="150" customHeight="1">
      <c r="I516" s="22"/>
    </row>
    <row r="517" spans="9:9" ht="150" customHeight="1">
      <c r="I517" s="22"/>
    </row>
    <row r="518" spans="9:9" ht="150" customHeight="1">
      <c r="I518" s="22"/>
    </row>
    <row r="519" spans="9:9" ht="150" customHeight="1">
      <c r="I519" s="22"/>
    </row>
    <row r="520" spans="9:9" ht="150" customHeight="1">
      <c r="I520" s="22"/>
    </row>
    <row r="521" spans="9:9" ht="150" customHeight="1">
      <c r="I521" s="22"/>
    </row>
    <row r="522" spans="9:9" ht="150" customHeight="1">
      <c r="I522" s="22"/>
    </row>
    <row r="523" spans="9:9" ht="150" customHeight="1">
      <c r="I523" s="22"/>
    </row>
    <row r="524" spans="9:9" ht="150" customHeight="1">
      <c r="I524" s="22"/>
    </row>
    <row r="525" spans="9:9" ht="150" customHeight="1">
      <c r="I525" s="22"/>
    </row>
    <row r="526" spans="9:9" ht="150" customHeight="1">
      <c r="I526" s="22"/>
    </row>
    <row r="527" spans="9:9" ht="150" customHeight="1">
      <c r="I527" s="22"/>
    </row>
    <row r="528" spans="9:9" ht="150" customHeight="1">
      <c r="I528" s="22"/>
    </row>
    <row r="529" spans="9:9" ht="150" customHeight="1">
      <c r="I529" s="22"/>
    </row>
    <row r="530" spans="9:9" ht="150" customHeight="1">
      <c r="I530" s="22"/>
    </row>
    <row r="531" spans="9:9" ht="150" customHeight="1">
      <c r="I531" s="22"/>
    </row>
    <row r="532" spans="9:9" ht="150" customHeight="1">
      <c r="I532" s="22"/>
    </row>
    <row r="533" spans="9:9" ht="150" customHeight="1">
      <c r="I533" s="22"/>
    </row>
    <row r="534" spans="9:9" ht="150" customHeight="1">
      <c r="I534" s="22"/>
    </row>
    <row r="535" spans="9:9" ht="150" customHeight="1">
      <c r="I535" s="22"/>
    </row>
    <row r="536" spans="9:9" ht="150" customHeight="1">
      <c r="I536" s="22"/>
    </row>
    <row r="537" spans="9:9" ht="150" customHeight="1">
      <c r="I537" s="22"/>
    </row>
    <row r="538" spans="9:9" ht="150" customHeight="1">
      <c r="I538" s="22"/>
    </row>
    <row r="539" spans="9:9" ht="150" customHeight="1">
      <c r="I539" s="22"/>
    </row>
    <row r="540" spans="9:9" ht="150" customHeight="1">
      <c r="I540" s="22"/>
    </row>
    <row r="541" spans="9:9" ht="150" customHeight="1">
      <c r="I541" s="22"/>
    </row>
    <row r="542" spans="9:9" ht="150" customHeight="1">
      <c r="I542" s="22"/>
    </row>
    <row r="543" spans="9:9" ht="150" customHeight="1">
      <c r="I543" s="22"/>
    </row>
    <row r="544" spans="9:9" ht="150" customHeight="1">
      <c r="I544" s="22"/>
    </row>
    <row r="545" spans="9:9" ht="150" customHeight="1">
      <c r="I545" s="22"/>
    </row>
    <row r="546" spans="9:9" ht="150" customHeight="1">
      <c r="I546" s="22"/>
    </row>
    <row r="547" spans="9:9" ht="150" customHeight="1">
      <c r="I547" s="22"/>
    </row>
    <row r="548" spans="9:9" ht="150" customHeight="1">
      <c r="I548" s="22"/>
    </row>
    <row r="549" spans="9:9" ht="150" customHeight="1">
      <c r="I549" s="22"/>
    </row>
    <row r="550" spans="9:9" ht="150" customHeight="1">
      <c r="I550" s="22"/>
    </row>
    <row r="551" spans="9:9" ht="150" customHeight="1">
      <c r="I551" s="22"/>
    </row>
    <row r="552" spans="9:9" ht="150" customHeight="1">
      <c r="I552" s="22"/>
    </row>
    <row r="553" spans="9:9" ht="150" customHeight="1">
      <c r="I553" s="22"/>
    </row>
    <row r="554" spans="9:9" ht="150" customHeight="1">
      <c r="I554" s="22"/>
    </row>
    <row r="555" spans="9:9" ht="150" customHeight="1">
      <c r="I555" s="22"/>
    </row>
    <row r="556" spans="9:9" ht="150" customHeight="1">
      <c r="I556" s="22"/>
    </row>
    <row r="557" spans="9:9" ht="150" customHeight="1">
      <c r="I557" s="22"/>
    </row>
    <row r="558" spans="9:9" ht="150" customHeight="1">
      <c r="I558" s="22"/>
    </row>
    <row r="559" spans="9:9" ht="150" customHeight="1">
      <c r="I559" s="22"/>
    </row>
    <row r="560" spans="9:9" ht="150" customHeight="1">
      <c r="I560" s="22"/>
    </row>
    <row r="561" spans="9:9" ht="150" customHeight="1">
      <c r="I561" s="22"/>
    </row>
    <row r="562" spans="9:9" ht="150" customHeight="1">
      <c r="I562" s="22"/>
    </row>
    <row r="563" spans="9:9" ht="150" customHeight="1">
      <c r="I563" s="22"/>
    </row>
    <row r="564" spans="9:9" ht="150" customHeight="1">
      <c r="I564" s="22"/>
    </row>
    <row r="565" spans="9:9" ht="150" customHeight="1">
      <c r="I565" s="22"/>
    </row>
    <row r="566" spans="9:9" ht="150" customHeight="1">
      <c r="I566" s="22"/>
    </row>
    <row r="567" spans="9:9" ht="150" customHeight="1">
      <c r="I567" s="22"/>
    </row>
    <row r="568" spans="9:9" ht="150" customHeight="1">
      <c r="I568" s="22"/>
    </row>
    <row r="569" spans="9:9" ht="150" customHeight="1">
      <c r="I569" s="22"/>
    </row>
    <row r="570" spans="9:9" ht="150" customHeight="1">
      <c r="I570" s="22"/>
    </row>
    <row r="571" spans="9:9" ht="150" customHeight="1">
      <c r="I571" s="22"/>
    </row>
    <row r="572" spans="9:9" ht="150" customHeight="1">
      <c r="I572" s="22"/>
    </row>
    <row r="573" spans="9:9" ht="150" customHeight="1">
      <c r="I573" s="22"/>
    </row>
    <row r="574" spans="9:9" ht="150" customHeight="1">
      <c r="I574" s="22"/>
    </row>
    <row r="575" spans="9:9" ht="150" customHeight="1">
      <c r="I575" s="22"/>
    </row>
    <row r="576" spans="9:9" ht="150" customHeight="1">
      <c r="I576" s="22"/>
    </row>
    <row r="577" spans="9:9" ht="150" customHeight="1">
      <c r="I577" s="22"/>
    </row>
    <row r="578" spans="9:9" ht="150" customHeight="1">
      <c r="I578" s="22"/>
    </row>
    <row r="579" spans="9:9" ht="150" customHeight="1">
      <c r="I579" s="22"/>
    </row>
    <row r="580" spans="9:9" ht="150" customHeight="1">
      <c r="I580" s="22"/>
    </row>
    <row r="581" spans="9:9" ht="150" customHeight="1">
      <c r="I581" s="22"/>
    </row>
    <row r="582" spans="9:9" ht="150" customHeight="1">
      <c r="I582" s="22"/>
    </row>
    <row r="583" spans="9:9" ht="150" customHeight="1">
      <c r="I583" s="22"/>
    </row>
    <row r="584" spans="9:9" ht="150" customHeight="1">
      <c r="I584" s="22"/>
    </row>
    <row r="585" spans="9:9" ht="150" customHeight="1">
      <c r="I585" s="22"/>
    </row>
    <row r="586" spans="9:9" ht="150" customHeight="1">
      <c r="I586" s="22"/>
    </row>
    <row r="587" spans="9:9" ht="150" customHeight="1">
      <c r="I587" s="22"/>
    </row>
    <row r="588" spans="9:9" ht="150" customHeight="1">
      <c r="I588" s="22"/>
    </row>
    <row r="589" spans="9:9" ht="150" customHeight="1">
      <c r="I589" s="22"/>
    </row>
    <row r="590" spans="9:9" ht="150" customHeight="1">
      <c r="I590" s="22"/>
    </row>
    <row r="591" spans="9:9" ht="150" customHeight="1">
      <c r="I591" s="22"/>
    </row>
    <row r="592" spans="9:9" ht="150" customHeight="1">
      <c r="I592" s="22"/>
    </row>
    <row r="593" spans="9:9" ht="150" customHeight="1">
      <c r="I593" s="22"/>
    </row>
    <row r="594" spans="9:9" ht="150" customHeight="1">
      <c r="I594" s="22"/>
    </row>
    <row r="595" spans="9:9" ht="150" customHeight="1">
      <c r="I595" s="22"/>
    </row>
    <row r="596" spans="9:9" ht="150" customHeight="1">
      <c r="I596" s="22"/>
    </row>
    <row r="597" spans="9:9" ht="150" customHeight="1">
      <c r="I597" s="22"/>
    </row>
    <row r="598" spans="9:9" ht="150" customHeight="1">
      <c r="I598" s="22"/>
    </row>
    <row r="599" spans="9:9" ht="150" customHeight="1">
      <c r="I599" s="22"/>
    </row>
    <row r="600" spans="9:9" ht="150" customHeight="1">
      <c r="I600" s="22"/>
    </row>
    <row r="601" spans="9:9" ht="150" customHeight="1">
      <c r="I601" s="22"/>
    </row>
    <row r="602" spans="9:9" ht="150" customHeight="1">
      <c r="I602" s="22"/>
    </row>
    <row r="603" spans="9:9" ht="150" customHeight="1">
      <c r="I603" s="22"/>
    </row>
    <row r="604" spans="9:9" ht="150" customHeight="1">
      <c r="I604" s="22"/>
    </row>
    <row r="605" spans="9:9" ht="150" customHeight="1">
      <c r="I605" s="22"/>
    </row>
    <row r="606" spans="9:9" ht="150" customHeight="1">
      <c r="I606" s="22"/>
    </row>
    <row r="607" spans="9:9" ht="150" customHeight="1">
      <c r="I607" s="22"/>
    </row>
    <row r="608" spans="9:9" ht="150" customHeight="1">
      <c r="I608" s="22"/>
    </row>
    <row r="609" spans="9:9" ht="150" customHeight="1">
      <c r="I609" s="22"/>
    </row>
    <row r="610" spans="9:9" ht="150" customHeight="1">
      <c r="I610" s="22"/>
    </row>
    <row r="611" spans="9:9" ht="150" customHeight="1">
      <c r="I611" s="22"/>
    </row>
    <row r="612" spans="9:9" ht="150" customHeight="1">
      <c r="I612" s="22"/>
    </row>
    <row r="613" spans="9:9" ht="150" customHeight="1">
      <c r="I613" s="22"/>
    </row>
    <row r="614" spans="9:9" ht="150" customHeight="1">
      <c r="I614" s="22"/>
    </row>
    <row r="615" spans="9:9" ht="150" customHeight="1">
      <c r="I615" s="22"/>
    </row>
    <row r="616" spans="9:9" ht="150" customHeight="1">
      <c r="I616" s="22"/>
    </row>
    <row r="617" spans="9:9" ht="150" customHeight="1">
      <c r="I617" s="22"/>
    </row>
    <row r="618" spans="9:9" ht="150" customHeight="1">
      <c r="I618" s="22"/>
    </row>
    <row r="619" spans="9:9" ht="150" customHeight="1">
      <c r="I619" s="22"/>
    </row>
    <row r="620" spans="9:9" ht="150" customHeight="1">
      <c r="I620" s="22"/>
    </row>
    <row r="621" spans="9:9" ht="150" customHeight="1">
      <c r="I621" s="22"/>
    </row>
    <row r="622" spans="9:9" ht="150" customHeight="1">
      <c r="I622" s="22"/>
    </row>
    <row r="623" spans="9:9" ht="150" customHeight="1">
      <c r="I623" s="22"/>
    </row>
    <row r="624" spans="9:9" ht="150" customHeight="1">
      <c r="I624" s="22"/>
    </row>
    <row r="625" spans="9:9" ht="150" customHeight="1">
      <c r="I625" s="22"/>
    </row>
    <row r="626" spans="9:9" ht="150" customHeight="1">
      <c r="I626" s="22"/>
    </row>
    <row r="627" spans="9:9" ht="150" customHeight="1">
      <c r="I627" s="22"/>
    </row>
    <row r="628" spans="9:9" ht="150" customHeight="1">
      <c r="I628" s="22"/>
    </row>
    <row r="629" spans="9:9" ht="150" customHeight="1">
      <c r="I629" s="22"/>
    </row>
    <row r="630" spans="9:9" ht="150" customHeight="1">
      <c r="I630" s="22"/>
    </row>
    <row r="631" spans="9:9" ht="150" customHeight="1">
      <c r="I631" s="22"/>
    </row>
    <row r="632" spans="9:9" ht="150" customHeight="1">
      <c r="I632" s="22"/>
    </row>
    <row r="633" spans="9:9" ht="150" customHeight="1">
      <c r="I633" s="22"/>
    </row>
    <row r="634" spans="9:9" ht="150" customHeight="1">
      <c r="I634" s="22"/>
    </row>
    <row r="635" spans="9:9" ht="150" customHeight="1">
      <c r="I635" s="22"/>
    </row>
    <row r="636" spans="9:9" ht="150" customHeight="1">
      <c r="I636" s="22"/>
    </row>
    <row r="637" spans="9:9" ht="150" customHeight="1">
      <c r="I637" s="22"/>
    </row>
    <row r="638" spans="9:9" ht="150" customHeight="1">
      <c r="I638" s="22"/>
    </row>
    <row r="639" spans="9:9" ht="150" customHeight="1">
      <c r="I639" s="22"/>
    </row>
    <row r="640" spans="9:9" ht="150" customHeight="1">
      <c r="I640" s="22"/>
    </row>
    <row r="641" spans="9:9" ht="150" customHeight="1">
      <c r="I641" s="22"/>
    </row>
    <row r="642" spans="9:9" ht="150" customHeight="1">
      <c r="I642" s="22"/>
    </row>
    <row r="643" spans="9:9" ht="150" customHeight="1">
      <c r="I643" s="22"/>
    </row>
    <row r="644" spans="9:9" ht="150" customHeight="1">
      <c r="I644" s="22"/>
    </row>
    <row r="645" spans="9:9" ht="150" customHeight="1">
      <c r="I645" s="22"/>
    </row>
    <row r="646" spans="9:9" ht="150" customHeight="1">
      <c r="I646" s="22"/>
    </row>
    <row r="647" spans="9:9" ht="150" customHeight="1">
      <c r="I647" s="22"/>
    </row>
    <row r="648" spans="9:9" ht="150" customHeight="1">
      <c r="I648" s="22"/>
    </row>
    <row r="649" spans="9:9" ht="150" customHeight="1">
      <c r="I649" s="22"/>
    </row>
    <row r="650" spans="9:9" ht="150" customHeight="1">
      <c r="I650" s="22"/>
    </row>
    <row r="651" spans="9:9" ht="150" customHeight="1">
      <c r="I651" s="22"/>
    </row>
    <row r="652" spans="9:9" ht="150" customHeight="1">
      <c r="I652" s="22"/>
    </row>
    <row r="653" spans="9:9" ht="150" customHeight="1">
      <c r="I653" s="22"/>
    </row>
    <row r="654" spans="9:9" ht="150" customHeight="1">
      <c r="I654" s="22"/>
    </row>
    <row r="655" spans="9:9" ht="150" customHeight="1">
      <c r="I655" s="22"/>
    </row>
    <row r="656" spans="9:9" ht="150" customHeight="1">
      <c r="I656" s="22"/>
    </row>
    <row r="657" spans="9:9" ht="150" customHeight="1">
      <c r="I657" s="22"/>
    </row>
    <row r="658" spans="9:9" ht="150" customHeight="1">
      <c r="I658" s="22"/>
    </row>
    <row r="659" spans="9:9" ht="150" customHeight="1">
      <c r="I659" s="22"/>
    </row>
    <row r="660" spans="9:9" ht="150" customHeight="1">
      <c r="I660" s="22"/>
    </row>
    <row r="661" spans="9:9" ht="150" customHeight="1">
      <c r="I661" s="22"/>
    </row>
    <row r="662" spans="9:9" ht="150" customHeight="1">
      <c r="I662" s="22"/>
    </row>
    <row r="663" spans="9:9" ht="150" customHeight="1">
      <c r="I663" s="22"/>
    </row>
    <row r="664" spans="9:9" ht="150" customHeight="1">
      <c r="I664" s="22"/>
    </row>
    <row r="665" spans="9:9" ht="150" customHeight="1">
      <c r="I665" s="22"/>
    </row>
    <row r="666" spans="9:9" ht="150" customHeight="1">
      <c r="I666" s="22"/>
    </row>
    <row r="667" spans="9:9" ht="150" customHeight="1">
      <c r="I667" s="22"/>
    </row>
    <row r="668" spans="9:9" ht="150" customHeight="1">
      <c r="I668" s="22"/>
    </row>
    <row r="669" spans="9:9" ht="150" customHeight="1">
      <c r="I669" s="22"/>
    </row>
    <row r="670" spans="9:9" ht="150" customHeight="1">
      <c r="I670" s="22"/>
    </row>
    <row r="671" spans="9:9" ht="150" customHeight="1">
      <c r="I671" s="22"/>
    </row>
    <row r="672" spans="9:9" ht="150" customHeight="1">
      <c r="I672" s="22"/>
    </row>
    <row r="673" spans="9:9" ht="150" customHeight="1">
      <c r="I673" s="22"/>
    </row>
    <row r="674" spans="9:9" ht="150" customHeight="1">
      <c r="I674" s="22"/>
    </row>
    <row r="675" spans="9:9" ht="150" customHeight="1">
      <c r="I675" s="22"/>
    </row>
    <row r="676" spans="9:9" ht="150" customHeight="1">
      <c r="I676" s="22"/>
    </row>
    <row r="677" spans="9:9" ht="150" customHeight="1">
      <c r="I677" s="22"/>
    </row>
    <row r="678" spans="9:9" ht="150" customHeight="1">
      <c r="I678" s="22"/>
    </row>
    <row r="679" spans="9:9" ht="150" customHeight="1">
      <c r="I679" s="22"/>
    </row>
    <row r="680" spans="9:9" ht="150" customHeight="1">
      <c r="I680" s="22"/>
    </row>
    <row r="681" spans="9:9" ht="150" customHeight="1">
      <c r="I681" s="22"/>
    </row>
    <row r="682" spans="9:9" ht="150" customHeight="1">
      <c r="I682" s="22"/>
    </row>
    <row r="683" spans="9:9" ht="150" customHeight="1">
      <c r="I683" s="22"/>
    </row>
    <row r="684" spans="9:9" ht="150" customHeight="1">
      <c r="I684" s="22"/>
    </row>
    <row r="685" spans="9:9" ht="150" customHeight="1">
      <c r="I685" s="22"/>
    </row>
    <row r="686" spans="9:9" ht="150" customHeight="1">
      <c r="I686" s="22"/>
    </row>
    <row r="687" spans="9:9" ht="150" customHeight="1">
      <c r="I687" s="22"/>
    </row>
    <row r="688" spans="9:9" ht="150" customHeight="1">
      <c r="I688" s="22"/>
    </row>
    <row r="689" spans="9:9" ht="150" customHeight="1">
      <c r="I689" s="22"/>
    </row>
    <row r="690" spans="9:9" ht="150" customHeight="1">
      <c r="I690" s="22"/>
    </row>
    <row r="691" spans="9:9" ht="150" customHeight="1">
      <c r="I691" s="22"/>
    </row>
    <row r="692" spans="9:9" ht="150" customHeight="1">
      <c r="I692" s="22"/>
    </row>
    <row r="693" spans="9:9" ht="150" customHeight="1">
      <c r="I693" s="22"/>
    </row>
    <row r="694" spans="9:9" ht="150" customHeight="1">
      <c r="I694" s="22"/>
    </row>
    <row r="695" spans="9:9" ht="150" customHeight="1">
      <c r="I695" s="22"/>
    </row>
    <row r="696" spans="9:9" ht="150" customHeight="1">
      <c r="I696" s="22"/>
    </row>
    <row r="697" spans="9:9" ht="150" customHeight="1">
      <c r="I697" s="22"/>
    </row>
    <row r="698" spans="9:9" ht="150" customHeight="1">
      <c r="I698" s="22"/>
    </row>
    <row r="699" spans="9:9" ht="150" customHeight="1">
      <c r="I699" s="22"/>
    </row>
    <row r="700" spans="9:9" ht="150" customHeight="1">
      <c r="I700" s="22"/>
    </row>
    <row r="701" spans="9:9" ht="150" customHeight="1">
      <c r="I701" s="22"/>
    </row>
    <row r="702" spans="9:9" ht="150" customHeight="1">
      <c r="I702" s="22"/>
    </row>
    <row r="703" spans="9:9" ht="150" customHeight="1">
      <c r="I703" s="22"/>
    </row>
    <row r="704" spans="9:9" ht="150" customHeight="1">
      <c r="I704" s="22"/>
    </row>
    <row r="705" spans="9:9" ht="150" customHeight="1">
      <c r="I705" s="22"/>
    </row>
    <row r="706" spans="9:9" ht="150" customHeight="1">
      <c r="I706" s="22"/>
    </row>
    <row r="707" spans="9:9" ht="150" customHeight="1">
      <c r="I707" s="22"/>
    </row>
    <row r="708" spans="9:9" ht="150" customHeight="1">
      <c r="I708" s="22"/>
    </row>
    <row r="709" spans="9:9" ht="150" customHeight="1">
      <c r="I709" s="22"/>
    </row>
    <row r="710" spans="9:9" ht="150" customHeight="1">
      <c r="I710" s="22"/>
    </row>
    <row r="711" spans="9:9" ht="150" customHeight="1">
      <c r="I711" s="22"/>
    </row>
    <row r="712" spans="9:9" ht="150" customHeight="1">
      <c r="I712" s="22"/>
    </row>
    <row r="713" spans="9:9" ht="150" customHeight="1">
      <c r="I713" s="22"/>
    </row>
    <row r="714" spans="9:9" ht="150" customHeight="1">
      <c r="I714" s="22"/>
    </row>
    <row r="715" spans="9:9" ht="150" customHeight="1">
      <c r="I715" s="22"/>
    </row>
    <row r="716" spans="9:9" ht="150" customHeight="1">
      <c r="I716" s="22"/>
    </row>
    <row r="717" spans="9:9" ht="150" customHeight="1">
      <c r="I717" s="22"/>
    </row>
    <row r="718" spans="9:9" ht="150" customHeight="1">
      <c r="I718" s="22"/>
    </row>
    <row r="719" spans="9:9" ht="150" customHeight="1">
      <c r="I719" s="22"/>
    </row>
    <row r="720" spans="9:9" ht="150" customHeight="1">
      <c r="I720" s="22"/>
    </row>
    <row r="721" spans="9:9" ht="150" customHeight="1">
      <c r="I721" s="22"/>
    </row>
    <row r="722" spans="9:9" ht="150" customHeight="1">
      <c r="I722" s="22"/>
    </row>
    <row r="723" spans="9:9" ht="150" customHeight="1">
      <c r="I723" s="22"/>
    </row>
    <row r="724" spans="9:9" ht="150" customHeight="1">
      <c r="I724" s="22"/>
    </row>
    <row r="725" spans="9:9" ht="150" customHeight="1">
      <c r="I725" s="22"/>
    </row>
    <row r="726" spans="9:9" ht="150" customHeight="1">
      <c r="I726" s="22"/>
    </row>
    <row r="727" spans="9:9" ht="150" customHeight="1">
      <c r="I727" s="22"/>
    </row>
    <row r="728" spans="9:9" ht="150" customHeight="1">
      <c r="I728" s="22"/>
    </row>
    <row r="729" spans="9:9" ht="150" customHeight="1">
      <c r="I729" s="22"/>
    </row>
    <row r="730" spans="9:9" ht="150" customHeight="1">
      <c r="I730" s="22"/>
    </row>
    <row r="731" spans="9:9" ht="150" customHeight="1">
      <c r="I731" s="22"/>
    </row>
    <row r="732" spans="9:9" ht="150" customHeight="1">
      <c r="I732" s="22"/>
    </row>
    <row r="733" spans="9:9" ht="150" customHeight="1">
      <c r="I733" s="22"/>
    </row>
    <row r="734" spans="9:9" ht="150" customHeight="1">
      <c r="I734" s="22"/>
    </row>
    <row r="735" spans="9:9" ht="150" customHeight="1">
      <c r="I735" s="22"/>
    </row>
    <row r="736" spans="9:9" ht="150" customHeight="1">
      <c r="I736" s="22"/>
    </row>
    <row r="737" spans="9:9" ht="150" customHeight="1">
      <c r="I737" s="22"/>
    </row>
    <row r="738" spans="9:9" ht="150" customHeight="1">
      <c r="I738" s="22"/>
    </row>
    <row r="739" spans="9:9" ht="150" customHeight="1">
      <c r="I739" s="22"/>
    </row>
    <row r="740" spans="9:9" ht="150" customHeight="1">
      <c r="I740" s="22"/>
    </row>
    <row r="741" spans="9:9" ht="150" customHeight="1">
      <c r="I741" s="22"/>
    </row>
    <row r="742" spans="9:9" ht="150" customHeight="1">
      <c r="I742" s="22"/>
    </row>
    <row r="743" spans="9:9" ht="150" customHeight="1">
      <c r="I743" s="22"/>
    </row>
    <row r="744" spans="9:9" ht="150" customHeight="1">
      <c r="I744" s="22"/>
    </row>
    <row r="745" spans="9:9" ht="150" customHeight="1">
      <c r="I745" s="22"/>
    </row>
    <row r="746" spans="9:9" ht="150" customHeight="1">
      <c r="I746" s="22"/>
    </row>
    <row r="747" spans="9:9" ht="150" customHeight="1">
      <c r="I747" s="22"/>
    </row>
    <row r="748" spans="9:9" ht="150" customHeight="1">
      <c r="I748" s="22"/>
    </row>
    <row r="749" spans="9:9" ht="150" customHeight="1">
      <c r="I749" s="22"/>
    </row>
    <row r="750" spans="9:9" ht="150" customHeight="1">
      <c r="I750" s="22"/>
    </row>
    <row r="751" spans="9:9" ht="150" customHeight="1">
      <c r="I751" s="22"/>
    </row>
    <row r="752" spans="9:9" ht="150" customHeight="1">
      <c r="I752" s="22"/>
    </row>
    <row r="753" spans="9:9" ht="150" customHeight="1">
      <c r="I753" s="22"/>
    </row>
    <row r="754" spans="9:9" ht="150" customHeight="1">
      <c r="I754" s="22"/>
    </row>
    <row r="755" spans="9:9" ht="150" customHeight="1">
      <c r="I755" s="22"/>
    </row>
    <row r="756" spans="9:9" ht="150" customHeight="1">
      <c r="I756" s="22"/>
    </row>
    <row r="757" spans="9:9" ht="150" customHeight="1">
      <c r="I757" s="22"/>
    </row>
    <row r="758" spans="9:9" ht="150" customHeight="1">
      <c r="I758" s="22"/>
    </row>
    <row r="759" spans="9:9" ht="150" customHeight="1">
      <c r="I759" s="22"/>
    </row>
    <row r="760" spans="9:9" ht="150" customHeight="1">
      <c r="I760" s="22"/>
    </row>
    <row r="761" spans="9:9" ht="150" customHeight="1">
      <c r="I761" s="22"/>
    </row>
    <row r="762" spans="9:9" ht="150" customHeight="1">
      <c r="I762" s="22"/>
    </row>
    <row r="763" spans="9:9" ht="150" customHeight="1">
      <c r="I763" s="22"/>
    </row>
    <row r="764" spans="9:9" ht="150" customHeight="1">
      <c r="I764" s="22"/>
    </row>
    <row r="765" spans="9:9" ht="150" customHeight="1">
      <c r="I765" s="22"/>
    </row>
    <row r="766" spans="9:9" ht="150" customHeight="1">
      <c r="I766" s="22"/>
    </row>
    <row r="767" spans="9:9" ht="150" customHeight="1">
      <c r="I767" s="22"/>
    </row>
    <row r="768" spans="9:9" ht="150" customHeight="1">
      <c r="I768" s="22"/>
    </row>
    <row r="769" spans="9:9" ht="150" customHeight="1">
      <c r="I769" s="22"/>
    </row>
    <row r="770" spans="9:9" ht="150" customHeight="1">
      <c r="I770" s="22"/>
    </row>
    <row r="771" spans="9:9" ht="150" customHeight="1">
      <c r="I771" s="22"/>
    </row>
    <row r="772" spans="9:9" ht="150" customHeight="1">
      <c r="I772" s="22"/>
    </row>
    <row r="773" spans="9:9" ht="150" customHeight="1">
      <c r="I773" s="22"/>
    </row>
    <row r="774" spans="9:9" ht="150" customHeight="1">
      <c r="I774" s="22"/>
    </row>
    <row r="775" spans="9:9" ht="150" customHeight="1">
      <c r="I775" s="22"/>
    </row>
    <row r="776" spans="9:9" ht="150" customHeight="1">
      <c r="I776" s="22"/>
    </row>
    <row r="777" spans="9:9" ht="150" customHeight="1">
      <c r="I777" s="22"/>
    </row>
    <row r="778" spans="9:9" ht="150" customHeight="1">
      <c r="I778" s="22"/>
    </row>
    <row r="779" spans="9:9" ht="150" customHeight="1">
      <c r="I779" s="22"/>
    </row>
    <row r="780" spans="9:9" ht="150" customHeight="1">
      <c r="I780" s="22"/>
    </row>
    <row r="781" spans="9:9" ht="150" customHeight="1">
      <c r="I781" s="22"/>
    </row>
    <row r="782" spans="9:9" ht="150" customHeight="1">
      <c r="I782" s="22"/>
    </row>
    <row r="783" spans="9:9" ht="150" customHeight="1">
      <c r="I783" s="22"/>
    </row>
    <row r="784" spans="9:9" ht="150" customHeight="1">
      <c r="I784" s="22"/>
    </row>
    <row r="785" spans="9:9" ht="150" customHeight="1">
      <c r="I785" s="22"/>
    </row>
    <row r="786" spans="9:9" ht="150" customHeight="1">
      <c r="I786" s="22"/>
    </row>
    <row r="787" spans="9:9" ht="150" customHeight="1">
      <c r="I787" s="22"/>
    </row>
    <row r="788" spans="9:9" ht="150" customHeight="1">
      <c r="I788" s="22"/>
    </row>
    <row r="789" spans="9:9" ht="150" customHeight="1">
      <c r="I789" s="22"/>
    </row>
    <row r="790" spans="9:9" ht="150" customHeight="1">
      <c r="I790" s="22"/>
    </row>
    <row r="791" spans="9:9" ht="150" customHeight="1">
      <c r="I791" s="22"/>
    </row>
    <row r="792" spans="9:9" ht="150" customHeight="1">
      <c r="I792" s="22"/>
    </row>
    <row r="793" spans="9:9" ht="150" customHeight="1">
      <c r="I793" s="22"/>
    </row>
    <row r="794" spans="9:9" ht="150" customHeight="1">
      <c r="I794" s="22"/>
    </row>
    <row r="795" spans="9:9" ht="150" customHeight="1">
      <c r="I795" s="22"/>
    </row>
    <row r="796" spans="9:9" ht="150" customHeight="1">
      <c r="I796" s="22"/>
    </row>
    <row r="797" spans="9:9" ht="150" customHeight="1">
      <c r="I797" s="22"/>
    </row>
    <row r="798" spans="9:9" ht="150" customHeight="1">
      <c r="I798" s="22"/>
    </row>
    <row r="799" spans="9:9" ht="150" customHeight="1">
      <c r="I799" s="22"/>
    </row>
    <row r="800" spans="9:9" ht="150" customHeight="1">
      <c r="I800" s="22"/>
    </row>
    <row r="801" spans="9:9" ht="150" customHeight="1">
      <c r="I801" s="22"/>
    </row>
    <row r="802" spans="9:9" ht="150" customHeight="1">
      <c r="I802" s="22"/>
    </row>
    <row r="803" spans="9:9" ht="150" customHeight="1">
      <c r="I803" s="22"/>
    </row>
    <row r="804" spans="9:9" ht="150" customHeight="1">
      <c r="I804" s="22"/>
    </row>
    <row r="805" spans="9:9" ht="150" customHeight="1">
      <c r="I805" s="22"/>
    </row>
    <row r="806" spans="9:9" ht="150" customHeight="1">
      <c r="I806" s="22"/>
    </row>
  </sheetData>
  <mergeCells count="6">
    <mergeCell ref="K1:M1"/>
    <mergeCell ref="K6:R6"/>
    <mergeCell ref="A2:I2"/>
    <mergeCell ref="K57:R57"/>
    <mergeCell ref="A1:I1"/>
    <mergeCell ref="A4:B4"/>
  </mergeCells>
  <phoneticPr fontId="13" type="noConversion"/>
  <conditionalFormatting sqref="I1:I37 I39:I70 I72:I84 I86:I104 I106:I142 I144:I157 I159:I1082">
    <cfRule type="cellIs" dxfId="4" priority="1" operator="equal">
      <formula>"pass"</formula>
    </cfRule>
    <cfRule type="cellIs" dxfId="3" priority="2" operator="equal">
      <formula>"out-of-scope"</formula>
    </cfRule>
    <cfRule type="cellIs" dxfId="2" priority="3" operator="equal">
      <formula>"fail"</formula>
    </cfRule>
    <cfRule type="cellIs" dxfId="1" priority="4" operator="equal">
      <formula>"active"</formula>
    </cfRule>
    <cfRule type="cellIs" dxfId="0" priority="5" operator="equal">
      <formula>"PWC"</formula>
    </cfRule>
  </conditionalFormatting>
  <dataValidations count="1">
    <dataValidation type="list" allowBlank="1" sqref="I39:I70 I86:I104 I144:I157 I3:I37 I159:I806 I72:I84 I106:I142" xr:uid="{00000000-0002-0000-0000-000000000000}">
      <formula1>"pass,fail,out-of-scope,PWC,active"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2.5703125" defaultRowHeight="15" customHeight="1"/>
  <cols>
    <col min="1" max="1" width="72.140625" customWidth="1"/>
    <col min="2" max="26" width="8.5703125" customWidth="1"/>
  </cols>
  <sheetData>
    <row r="1" spans="1:1" ht="12" customHeight="1">
      <c r="A1" s="1" t="s">
        <v>185</v>
      </c>
    </row>
    <row r="2" spans="1:1" ht="12" customHeight="1">
      <c r="A2" s="1" t="s">
        <v>186</v>
      </c>
    </row>
    <row r="3" spans="1:1" ht="12" customHeight="1"/>
    <row r="4" spans="1:1" ht="12" customHeight="1"/>
    <row r="5" spans="1:1" ht="12" customHeight="1"/>
    <row r="6" spans="1:1" ht="12" customHeight="1"/>
    <row r="7" spans="1:1" ht="12" customHeight="1"/>
    <row r="8" spans="1:1" ht="12" customHeight="1"/>
    <row r="9" spans="1:1" ht="12" customHeight="1"/>
    <row r="10" spans="1:1" ht="12" customHeight="1"/>
    <row r="11" spans="1:1" ht="12" customHeight="1"/>
    <row r="12" spans="1:1" ht="12" customHeight="1"/>
    <row r="13" spans="1:1" ht="12" customHeight="1"/>
    <row r="14" spans="1:1" ht="12" customHeight="1"/>
    <row r="15" spans="1:1" ht="12" customHeight="1"/>
    <row r="16" spans="1:1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Kingsley Udoh</dc:creator>
  <cp:lastModifiedBy>Joseph Ogunsuada</cp:lastModifiedBy>
  <dcterms:created xsi:type="dcterms:W3CDTF">2025-04-22T11:37:48Z</dcterms:created>
  <dcterms:modified xsi:type="dcterms:W3CDTF">2026-04-18T21:55:30Z</dcterms:modified>
</cp:coreProperties>
</file>